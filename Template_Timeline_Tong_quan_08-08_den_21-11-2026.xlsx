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d.docs.live.net/37f208b81c333147/HUUNHAN/STUDENT/NAM3(HK3)/DuAnCNTT/Campus_Network_SDN_SD-WAN/"/>
    </mc:Choice>
  </mc:AlternateContent>
  <xr:revisionPtr revIDLastSave="10" documentId="11_A29DB25D4CECA558D2673B553BC5ECA590073355" xr6:coauthVersionLast="47" xr6:coauthVersionMax="47" xr10:uidLastSave="{40FC1021-C20A-4782-A7D3-CA39912AF7A6}"/>
  <bookViews>
    <workbookView xWindow="-120" yWindow="-120" windowWidth="29040" windowHeight="15720" xr2:uid="{00000000-000D-0000-FFFF-FFFF00000000}"/>
  </bookViews>
  <sheets>
    <sheet name="Timeline tổng quan" sheetId="1" r:id="rId1"/>
    <sheet name="Hướng dẫn sử dụng" sheetId="2" r:id="rId2"/>
    <sheet name="Gantt tuầ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0" i="3" l="1"/>
  <c r="S30" i="3"/>
  <c r="R30" i="3"/>
  <c r="Q30" i="3"/>
  <c r="P30" i="3"/>
  <c r="O30" i="3"/>
  <c r="N30" i="3"/>
  <c r="M30" i="3"/>
  <c r="L30" i="3"/>
  <c r="K30" i="3"/>
  <c r="J30" i="3"/>
  <c r="I30" i="3"/>
  <c r="H30" i="3"/>
  <c r="G30" i="3"/>
  <c r="F30" i="3"/>
  <c r="E30" i="3"/>
  <c r="D30" i="3"/>
  <c r="C30" i="3"/>
  <c r="B30" i="3"/>
  <c r="A30" i="3"/>
  <c r="T29" i="3"/>
  <c r="S29" i="3"/>
  <c r="R29" i="3"/>
  <c r="Q29" i="3"/>
  <c r="P29" i="3"/>
  <c r="O29" i="3"/>
  <c r="N29" i="3"/>
  <c r="M29" i="3"/>
  <c r="L29" i="3"/>
  <c r="K29" i="3"/>
  <c r="J29" i="3"/>
  <c r="I29" i="3"/>
  <c r="H29" i="3"/>
  <c r="G29" i="3"/>
  <c r="F29" i="3"/>
  <c r="E29" i="3"/>
  <c r="D29" i="3"/>
  <c r="C29" i="3"/>
  <c r="B29" i="3"/>
  <c r="A29" i="3"/>
  <c r="T28" i="3"/>
  <c r="S28" i="3"/>
  <c r="R28" i="3"/>
  <c r="Q28" i="3"/>
  <c r="P28" i="3"/>
  <c r="O28" i="3"/>
  <c r="N28" i="3"/>
  <c r="M28" i="3"/>
  <c r="L28" i="3"/>
  <c r="K28" i="3"/>
  <c r="J28" i="3"/>
  <c r="I28" i="3"/>
  <c r="H28" i="3"/>
  <c r="G28" i="3"/>
  <c r="F28" i="3"/>
  <c r="E28" i="3"/>
  <c r="D28" i="3"/>
  <c r="C28" i="3"/>
  <c r="B28" i="3"/>
  <c r="A28" i="3"/>
  <c r="T27" i="3"/>
  <c r="S27" i="3"/>
  <c r="R27" i="3"/>
  <c r="Q27" i="3"/>
  <c r="P27" i="3"/>
  <c r="O27" i="3"/>
  <c r="N27" i="3"/>
  <c r="M27" i="3"/>
  <c r="L27" i="3"/>
  <c r="K27" i="3"/>
  <c r="J27" i="3"/>
  <c r="I27" i="3"/>
  <c r="H27" i="3"/>
  <c r="G27" i="3"/>
  <c r="F27" i="3"/>
  <c r="E27" i="3"/>
  <c r="D27" i="3"/>
  <c r="C27" i="3"/>
  <c r="B27" i="3"/>
  <c r="A27" i="3"/>
  <c r="T26" i="3"/>
  <c r="S26" i="3"/>
  <c r="R26" i="3"/>
  <c r="Q26" i="3"/>
  <c r="P26" i="3"/>
  <c r="O26" i="3"/>
  <c r="N26" i="3"/>
  <c r="M26" i="3"/>
  <c r="L26" i="3"/>
  <c r="K26" i="3"/>
  <c r="J26" i="3"/>
  <c r="I26" i="3"/>
  <c r="H26" i="3"/>
  <c r="G26" i="3"/>
  <c r="F26" i="3"/>
  <c r="E26" i="3"/>
  <c r="D26" i="3"/>
  <c r="C26" i="3"/>
  <c r="B26" i="3"/>
  <c r="A26" i="3"/>
  <c r="T25" i="3"/>
  <c r="S25" i="3"/>
  <c r="R25" i="3"/>
  <c r="Q25" i="3"/>
  <c r="P25" i="3"/>
  <c r="O25" i="3"/>
  <c r="N25" i="3"/>
  <c r="M25" i="3"/>
  <c r="L25" i="3"/>
  <c r="K25" i="3"/>
  <c r="J25" i="3"/>
  <c r="I25" i="3"/>
  <c r="H25" i="3"/>
  <c r="G25" i="3"/>
  <c r="F25" i="3"/>
  <c r="E25" i="3"/>
  <c r="D25" i="3"/>
  <c r="C25" i="3"/>
  <c r="B25" i="3"/>
  <c r="A25" i="3"/>
  <c r="T24" i="3"/>
  <c r="S24" i="3"/>
  <c r="R24" i="3"/>
  <c r="Q24" i="3"/>
  <c r="P24" i="3"/>
  <c r="O24" i="3"/>
  <c r="N24" i="3"/>
  <c r="M24" i="3"/>
  <c r="L24" i="3"/>
  <c r="K24" i="3"/>
  <c r="J24" i="3"/>
  <c r="I24" i="3"/>
  <c r="H24" i="3"/>
  <c r="G24" i="3"/>
  <c r="F24" i="3"/>
  <c r="E24" i="3"/>
  <c r="D24" i="3"/>
  <c r="C24" i="3"/>
  <c r="B24" i="3"/>
  <c r="A24" i="3"/>
  <c r="T23" i="3"/>
  <c r="S23" i="3"/>
  <c r="R23" i="3"/>
  <c r="Q23" i="3"/>
  <c r="P23" i="3"/>
  <c r="O23" i="3"/>
  <c r="N23" i="3"/>
  <c r="M23" i="3"/>
  <c r="L23" i="3"/>
  <c r="K23" i="3"/>
  <c r="J23" i="3"/>
  <c r="I23" i="3"/>
  <c r="H23" i="3"/>
  <c r="G23" i="3"/>
  <c r="F23" i="3"/>
  <c r="E23" i="3"/>
  <c r="D23" i="3"/>
  <c r="C23" i="3"/>
  <c r="B23" i="3"/>
  <c r="A23" i="3"/>
  <c r="T22" i="3"/>
  <c r="S22" i="3"/>
  <c r="R22" i="3"/>
  <c r="Q22" i="3"/>
  <c r="P22" i="3"/>
  <c r="O22" i="3"/>
  <c r="N22" i="3"/>
  <c r="M22" i="3"/>
  <c r="L22" i="3"/>
  <c r="K22" i="3"/>
  <c r="J22" i="3"/>
  <c r="I22" i="3"/>
  <c r="H22" i="3"/>
  <c r="G22" i="3"/>
  <c r="F22" i="3"/>
  <c r="E22" i="3"/>
  <c r="D22" i="3"/>
  <c r="C22" i="3"/>
  <c r="B22" i="3"/>
  <c r="A22" i="3"/>
  <c r="T21" i="3"/>
  <c r="S21" i="3"/>
  <c r="R21" i="3"/>
  <c r="Q21" i="3"/>
  <c r="P21" i="3"/>
  <c r="O21" i="3"/>
  <c r="N21" i="3"/>
  <c r="M21" i="3"/>
  <c r="L21" i="3"/>
  <c r="K21" i="3"/>
  <c r="J21" i="3"/>
  <c r="I21" i="3"/>
  <c r="H21" i="3"/>
  <c r="G21" i="3"/>
  <c r="F21" i="3"/>
  <c r="E21" i="3"/>
  <c r="D21" i="3"/>
  <c r="C21" i="3"/>
  <c r="B21" i="3"/>
  <c r="A21" i="3"/>
  <c r="T20" i="3"/>
  <c r="S20" i="3"/>
  <c r="R20" i="3"/>
  <c r="Q20" i="3"/>
  <c r="P20" i="3"/>
  <c r="O20" i="3"/>
  <c r="N20" i="3"/>
  <c r="M20" i="3"/>
  <c r="L20" i="3"/>
  <c r="K20" i="3"/>
  <c r="J20" i="3"/>
  <c r="I20" i="3"/>
  <c r="H20" i="3"/>
  <c r="G20" i="3"/>
  <c r="F20" i="3"/>
  <c r="E20" i="3"/>
  <c r="D20" i="3"/>
  <c r="C20" i="3"/>
  <c r="B20" i="3"/>
  <c r="A20" i="3"/>
  <c r="T19" i="3"/>
  <c r="S19" i="3"/>
  <c r="R19" i="3"/>
  <c r="Q19" i="3"/>
  <c r="P19" i="3"/>
  <c r="O19" i="3"/>
  <c r="N19" i="3"/>
  <c r="M19" i="3"/>
  <c r="L19" i="3"/>
  <c r="K19" i="3"/>
  <c r="J19" i="3"/>
  <c r="I19" i="3"/>
  <c r="H19" i="3"/>
  <c r="G19" i="3"/>
  <c r="F19" i="3"/>
  <c r="E19" i="3"/>
  <c r="D19" i="3"/>
  <c r="C19" i="3"/>
  <c r="B19" i="3"/>
  <c r="A19" i="3"/>
  <c r="T18" i="3"/>
  <c r="S18" i="3"/>
  <c r="R18" i="3"/>
  <c r="Q18" i="3"/>
  <c r="P18" i="3"/>
  <c r="O18" i="3"/>
  <c r="N18" i="3"/>
  <c r="M18" i="3"/>
  <c r="L18" i="3"/>
  <c r="K18" i="3"/>
  <c r="J18" i="3"/>
  <c r="I18" i="3"/>
  <c r="H18" i="3"/>
  <c r="G18" i="3"/>
  <c r="F18" i="3"/>
  <c r="E18" i="3"/>
  <c r="D18" i="3"/>
  <c r="C18" i="3"/>
  <c r="B18" i="3"/>
  <c r="A18" i="3"/>
  <c r="T17" i="3"/>
  <c r="S17" i="3"/>
  <c r="R17" i="3"/>
  <c r="Q17" i="3"/>
  <c r="P17" i="3"/>
  <c r="O17" i="3"/>
  <c r="N17" i="3"/>
  <c r="M17" i="3"/>
  <c r="L17" i="3"/>
  <c r="K17" i="3"/>
  <c r="J17" i="3"/>
  <c r="I17" i="3"/>
  <c r="H17" i="3"/>
  <c r="G17" i="3"/>
  <c r="F17" i="3"/>
  <c r="E17" i="3"/>
  <c r="D17" i="3"/>
  <c r="C17" i="3"/>
  <c r="B17" i="3"/>
  <c r="A17" i="3"/>
  <c r="T16" i="3"/>
  <c r="S16" i="3"/>
  <c r="R16" i="3"/>
  <c r="Q16" i="3"/>
  <c r="P16" i="3"/>
  <c r="O16" i="3"/>
  <c r="N16" i="3"/>
  <c r="M16" i="3"/>
  <c r="L16" i="3"/>
  <c r="K16" i="3"/>
  <c r="J16" i="3"/>
  <c r="I16" i="3"/>
  <c r="H16" i="3"/>
  <c r="G16" i="3"/>
  <c r="F16" i="3"/>
  <c r="E16" i="3"/>
  <c r="D16" i="3"/>
  <c r="C16" i="3"/>
  <c r="B16" i="3"/>
  <c r="A16" i="3"/>
  <c r="T15" i="3"/>
  <c r="S15" i="3"/>
  <c r="R15" i="3"/>
  <c r="Q15" i="3"/>
  <c r="P15" i="3"/>
  <c r="O15" i="3"/>
  <c r="N15" i="3"/>
  <c r="M15" i="3"/>
  <c r="L15" i="3"/>
  <c r="K15" i="3"/>
  <c r="J15" i="3"/>
  <c r="I15" i="3"/>
  <c r="H15" i="3"/>
  <c r="G15" i="3"/>
  <c r="F15" i="3"/>
  <c r="E15" i="3"/>
  <c r="D15" i="3"/>
  <c r="C15" i="3"/>
  <c r="B15" i="3"/>
  <c r="A15" i="3"/>
  <c r="T14" i="3"/>
  <c r="S14" i="3"/>
  <c r="R14" i="3"/>
  <c r="Q14" i="3"/>
  <c r="P14" i="3"/>
  <c r="O14" i="3"/>
  <c r="N14" i="3"/>
  <c r="M14" i="3"/>
  <c r="L14" i="3"/>
  <c r="K14" i="3"/>
  <c r="J14" i="3"/>
  <c r="I14" i="3"/>
  <c r="H14" i="3"/>
  <c r="G14" i="3"/>
  <c r="F14" i="3"/>
  <c r="E14" i="3"/>
  <c r="D14" i="3"/>
  <c r="C14" i="3"/>
  <c r="B14" i="3"/>
  <c r="A14" i="3"/>
  <c r="T13" i="3"/>
  <c r="S13" i="3"/>
  <c r="R13" i="3"/>
  <c r="Q13" i="3"/>
  <c r="P13" i="3"/>
  <c r="O13" i="3"/>
  <c r="N13" i="3"/>
  <c r="M13" i="3"/>
  <c r="L13" i="3"/>
  <c r="K13" i="3"/>
  <c r="J13" i="3"/>
  <c r="I13" i="3"/>
  <c r="H13" i="3"/>
  <c r="G13" i="3"/>
  <c r="F13" i="3"/>
  <c r="E13" i="3"/>
  <c r="D13" i="3"/>
  <c r="C13" i="3"/>
  <c r="B13" i="3"/>
  <c r="A13" i="3"/>
  <c r="T12" i="3"/>
  <c r="S12" i="3"/>
  <c r="R12" i="3"/>
  <c r="Q12" i="3"/>
  <c r="P12" i="3"/>
  <c r="O12" i="3"/>
  <c r="N12" i="3"/>
  <c r="M12" i="3"/>
  <c r="L12" i="3"/>
  <c r="K12" i="3"/>
  <c r="J12" i="3"/>
  <c r="I12" i="3"/>
  <c r="H12" i="3"/>
  <c r="G12" i="3"/>
  <c r="F12" i="3"/>
  <c r="E12" i="3"/>
  <c r="D12" i="3"/>
  <c r="C12" i="3"/>
  <c r="B12" i="3"/>
  <c r="A12" i="3"/>
  <c r="T11" i="3"/>
  <c r="S11" i="3"/>
  <c r="R11" i="3"/>
  <c r="Q11" i="3"/>
  <c r="P11" i="3"/>
  <c r="O11" i="3"/>
  <c r="N11" i="3"/>
  <c r="M11" i="3"/>
  <c r="L11" i="3"/>
  <c r="K11" i="3"/>
  <c r="J11" i="3"/>
  <c r="I11" i="3"/>
  <c r="H11" i="3"/>
  <c r="G11" i="3"/>
  <c r="F11" i="3"/>
  <c r="E11" i="3"/>
  <c r="D11" i="3"/>
  <c r="C11" i="3"/>
  <c r="B11" i="3"/>
  <c r="A11" i="3"/>
  <c r="T10" i="3"/>
  <c r="S10" i="3"/>
  <c r="R10" i="3"/>
  <c r="Q10" i="3"/>
  <c r="P10" i="3"/>
  <c r="O10" i="3"/>
  <c r="N10" i="3"/>
  <c r="M10" i="3"/>
  <c r="L10" i="3"/>
  <c r="K10" i="3"/>
  <c r="J10" i="3"/>
  <c r="I10" i="3"/>
  <c r="H10" i="3"/>
  <c r="G10" i="3"/>
  <c r="F10" i="3"/>
  <c r="E10" i="3"/>
  <c r="D10" i="3"/>
  <c r="C10" i="3"/>
  <c r="B10" i="3"/>
  <c r="A10" i="3"/>
  <c r="T9" i="3"/>
  <c r="S9" i="3"/>
  <c r="R9" i="3"/>
  <c r="Q9" i="3"/>
  <c r="P9" i="3"/>
  <c r="O9" i="3"/>
  <c r="N9" i="3"/>
  <c r="M9" i="3"/>
  <c r="L9" i="3"/>
  <c r="K9" i="3"/>
  <c r="J9" i="3"/>
  <c r="I9" i="3"/>
  <c r="H9" i="3"/>
  <c r="G9" i="3"/>
  <c r="F9" i="3"/>
  <c r="E9" i="3"/>
  <c r="D9" i="3"/>
  <c r="C9" i="3"/>
  <c r="B9" i="3"/>
  <c r="A9" i="3"/>
  <c r="T8" i="3"/>
  <c r="S8" i="3"/>
  <c r="R8" i="3"/>
  <c r="Q8" i="3"/>
  <c r="P8" i="3"/>
  <c r="O8" i="3"/>
  <c r="N8" i="3"/>
  <c r="M8" i="3"/>
  <c r="L8" i="3"/>
  <c r="K8" i="3"/>
  <c r="J8" i="3"/>
  <c r="I8" i="3"/>
  <c r="H8" i="3"/>
  <c r="G8" i="3"/>
  <c r="F8" i="3"/>
  <c r="E8" i="3"/>
  <c r="D8" i="3"/>
  <c r="C8" i="3"/>
  <c r="B8" i="3"/>
  <c r="A8" i="3"/>
  <c r="T7" i="3"/>
  <c r="S7" i="3"/>
  <c r="R7" i="3"/>
  <c r="Q7" i="3"/>
  <c r="P7" i="3"/>
  <c r="O7" i="3"/>
  <c r="N7" i="3"/>
  <c r="M7" i="3"/>
  <c r="L7" i="3"/>
  <c r="K7" i="3"/>
  <c r="J7" i="3"/>
  <c r="I7" i="3"/>
  <c r="H7" i="3"/>
  <c r="G7" i="3"/>
  <c r="F7" i="3"/>
  <c r="E7" i="3"/>
  <c r="D7" i="3"/>
  <c r="C7" i="3"/>
  <c r="B7" i="3"/>
  <c r="A7" i="3"/>
  <c r="T6" i="3"/>
  <c r="S6" i="3"/>
  <c r="R6" i="3"/>
  <c r="Q6" i="3"/>
  <c r="P6" i="3"/>
  <c r="O6" i="3"/>
  <c r="N6" i="3"/>
  <c r="M6" i="3"/>
  <c r="L6" i="3"/>
  <c r="K6" i="3"/>
  <c r="J6" i="3"/>
  <c r="I6" i="3"/>
  <c r="H6" i="3"/>
  <c r="G6" i="3"/>
  <c r="F6" i="3"/>
  <c r="E6" i="3"/>
  <c r="D6" i="3"/>
  <c r="C6" i="3"/>
  <c r="B6" i="3"/>
  <c r="A6" i="3"/>
  <c r="T5" i="3"/>
  <c r="S5" i="3"/>
  <c r="R5" i="3"/>
  <c r="Q5" i="3"/>
  <c r="P5" i="3"/>
  <c r="O5" i="3"/>
  <c r="N5" i="3"/>
  <c r="M5" i="3"/>
  <c r="L5" i="3"/>
  <c r="K5" i="3"/>
  <c r="J5" i="3"/>
  <c r="I5" i="3"/>
  <c r="H5" i="3"/>
  <c r="G5" i="3"/>
  <c r="F5" i="3"/>
  <c r="E5" i="3"/>
  <c r="D5" i="3"/>
  <c r="C5" i="3"/>
  <c r="B5" i="3"/>
  <c r="A5" i="3"/>
  <c r="T4" i="3"/>
  <c r="S4" i="3"/>
  <c r="R4" i="3"/>
  <c r="Q4" i="3"/>
  <c r="P4" i="3"/>
  <c r="O4" i="3"/>
  <c r="N4" i="3"/>
  <c r="M4" i="3"/>
  <c r="L4" i="3"/>
  <c r="K4" i="3"/>
  <c r="J4" i="3"/>
  <c r="I4" i="3"/>
  <c r="H4" i="3"/>
  <c r="G4" i="3"/>
  <c r="F4" i="3"/>
  <c r="E4" i="3"/>
  <c r="D4" i="3"/>
  <c r="C4" i="3"/>
  <c r="B4" i="3"/>
  <c r="A4" i="3"/>
  <c r="G9" i="1"/>
  <c r="E9" i="1"/>
  <c r="C9" i="1"/>
  <c r="A9" i="1"/>
</calcChain>
</file>

<file path=xl/sharedStrings.xml><?xml version="1.0" encoding="utf-8"?>
<sst xmlns="http://schemas.openxmlformats.org/spreadsheetml/2006/main" count="235" uniqueCount="199">
  <si>
    <t>KHUNG TIMELINE TIẾN ĐỘ DỰ ÁN / NGHIÊN CỨU</t>
  </si>
  <si>
    <t>Tên đề tài / dự án:</t>
  </si>
  <si>
    <t>Thiết kế và mô phỏng Campus Network kết hợp SDN + SD-WAN trên EVE-NG</t>
  </si>
  <si>
    <t>Ngày bắt đầu:</t>
  </si>
  <si>
    <t>Sinh viên / Nhóm:</t>
  </si>
  <si>
    <t>Trần Hữu Nhân - 52300235 , Nguyễn Nhật Hào - 523002198</t>
  </si>
  <si>
    <t>Giảng viên hướng dẫn:</t>
  </si>
  <si>
    <t>Lê Viết Thanh</t>
  </si>
  <si>
    <t>Deadline chính thức:</t>
  </si>
  <si>
    <t>Báo cáo sạch hoàn tất:</t>
  </si>
  <si>
    <t>Thời gian dự phòng:</t>
  </si>
  <si>
    <t>07/11–20/11/2026</t>
  </si>
  <si>
    <t>Mục tiêu chính:</t>
  </si>
  <si>
    <t>[Mô tả ngắn 1–2 câu về mục tiêu chung của đề tài/dự án]</t>
  </si>
  <si>
    <t>Mục tiêu chính: Thiết kế và mô phỏng hệ thống mạng Campus 4 site (Campus chính + Cần Thơ/Đà Nẵng/Nha Trang) kết hợp SDN (Ryu/OpenFlow 1.3 quản lý 6 switch OVS) và SD-WAN (vManage/vSmart/vBond + vEdge) trên EVE-NG; triển khai DHCP, Firewall HA, Syslog; kiểm thử kết nối chi nhánh.</t>
  </si>
  <si>
    <t>Tổng hạng mục</t>
  </si>
  <si>
    <t>Hoàn thành</t>
  </si>
  <si>
    <t>Đang thực hiện</t>
  </si>
  <si>
    <t>Chưa bắt đầu</t>
  </si>
  <si>
    <t>Mốc báo cáo sạch</t>
  </si>
  <si>
    <t>STT</t>
  </si>
  <si>
    <t>Giai đoạn</t>
  </si>
  <si>
    <t>Hạng mục công việc</t>
  </si>
  <si>
    <t>Nội dung cần thực hiện / Gợi ý chỉnh sửa</t>
  </si>
  <si>
    <t>Bắt đầu</t>
  </si>
  <si>
    <t>Hạn hoàn thành</t>
  </si>
  <si>
    <t>Kết quả đầu ra gợi ý</t>
  </si>
  <si>
    <t>Trạng thái</t>
  </si>
  <si>
    <t>Người phụ trách / Ghi chú</t>
  </si>
  <si>
    <t>I. ĐỊNH HƯỚNG &amp; PHƯƠNG PHÁP LUẬN</t>
  </si>
  <si>
    <t>Xác định bài toán, mục tiêu và phạm vi</t>
  </si>
  <si>
    <t>Làm rõ vấn đề cần giải quyết; đối tượng sử dụng/đối tượng nghiên cứu; mục tiêu chính, mục tiêu phụ; phạm vi làm và không làm. Có thể thay bằng yêu cầu môn học hoặc yêu cầu của giảng viên.</t>
  </si>
  <si>
    <t>Tuyên bố bài toán + mục tiêu + phạm vi 1 trang</t>
  </si>
  <si>
    <t>Đề tài đã chốt: Campus Network kết hợp SDN + SD-WAN (3 lớp core-distribution-access, HA firewall, DMZ, 3 chi nhánh)</t>
  </si>
  <si>
    <t>Khảo sát tài liệu, sản phẩm hoặc giải pháp liên quan</t>
  </si>
  <si>
    <t>Tìm các bài báo, tài liệu kỹ thuật, sản phẩm tương tự, tiêu chuẩn hoặc nguồn dữ liệu liên quan. Ghi lại điểm mạnh, hạn chế và khoảng trống mà đề tài có thể xử lý.</t>
  </si>
  <si>
    <t>Danh mục tài liệu + bảng tổng hợp Related Work / Existing Solutions</t>
  </si>
  <si>
    <t>Nghiên cứu SDN/OpenFlow/Ryu + SD-WAN vManage/vSmart/vBond/vEdge; docs: HuondanchitietController_OVS.md, campus_network_sdn_sdwan.md</t>
  </si>
  <si>
    <t>Chọn hướng tiếp cận / phương pháp thực hiện</t>
  </si>
  <si>
    <t>Chốt phương pháp, kiến trúc, mô hình, thuật toán, quy trình hoặc stack công nghệ ở mức đủ để bắt đầu thiết kế. Nêu lý do chọn và tiêu chí để đánh giá hiệu quả.</t>
  </si>
  <si>
    <t>Sơ đồ phương pháp/kiến trúc ban đầu + tiêu chí đánh giá</t>
  </si>
  <si>
    <t>Chốt stack: Ryu + OpenFlow 1.3, OVS, ASAv HA, IOL, EVE-NG (host 1 + host 2 dự phòng)</t>
  </si>
  <si>
    <t>Lập kế hoạch công việc, phân công và rủi ro</t>
  </si>
  <si>
    <t>Chia đầu việc theo thành viên; xác định phụ thuộc; repo, thư mục, quy tắc đặt tên, cách lưu bằng chứng; dự đoán rủi ro và phương án dự phòng.</t>
  </si>
  <si>
    <t>WBS/backlog + phân công + checklist rủi ro + quy ước làm việc</t>
  </si>
  <si>
    <t>Template timeline này + configs/README.md + repo git (nhanhuutran007)</t>
  </si>
  <si>
    <t>II. THIẾT KẾ &amp; CHUẨN BỊ</t>
  </si>
  <si>
    <t>Thiết kế giải pháp / hệ thống / quy trình chi tiết</t>
  </si>
  <si>
    <t>Biến ý tưởng thành sơ đồ có thể triển khai: thành phần, luồng xử lý, dữ liệu vào/ra, giao tiếp giữa các module, các bước thí nghiệm hoặc workflow chính.</t>
  </si>
  <si>
    <t>Sơ đồ thiết kế phiên bản 1 + mô tả từng thành phần</t>
  </si>
  <si>
    <t>campus_network_sdn_sdwan.md: bảng IP 2.0-2.4, topo .unl 67 node, VLAN/DHCP (hoàn tất 12/08)</t>
  </si>
  <si>
    <t>Chuẩn bị môi trường, dữ liệu và công cụ</t>
  </si>
  <si>
    <t>Cài đặt môi trường; chuẩn bị máy ảo/container/phần mềm; dữ liệu mẫu; tài khoản; quyền truy cập; thư viện; cấu hình; tài nguyên cần thiết cho dự án.</t>
  </si>
  <si>
    <t>Môi trường tái tạo được + hướng dẫn cài đặt ngắn</t>
  </si>
  <si>
    <t>EVE-NG host 1 (10.215.28.26) + host 2 dự phòng, đủ image, configs/ cho 51 node</t>
  </si>
  <si>
    <t>Xây dựng kế hoạch kiểm thử / đánh giá</t>
  </si>
  <si>
    <t>Định nghĩa test case, kịch bản thí nghiệm, baseline, tiêu chí đạt/không đạt, các chỉ số cần đo và cách thu thập bằng chứng.</t>
  </si>
  <si>
    <t>Test plan + metric + expected result + baseline</t>
  </si>
  <si>
    <t>Làm Proof of Concept / kiểm tra khả thi</t>
  </si>
  <si>
    <t>Triển khai một phần nhỏ để kiểm tra hướng tiếp cận có chạy được hay không trước khi đầu tư toàn bộ thời gian. Ghi lại vấn đề kỹ thuật quan trọng.</t>
  </si>
  <si>
    <t>PoC hoạt động + danh sách vấn đề cần xử lý</t>
  </si>
  <si>
    <t>SDN 6/6 OVS kết nối Ryu 10.1.99.10:6653; DHCP 3 chi nhánh hoạt động; FW HA + ASDM OK (12/08)</t>
  </si>
  <si>
    <t>III. TRIỂN KHAI / THỰC NGHIỆM</t>
  </si>
  <si>
    <t>Xây dựng phiên bản tối thiểu hoạt động (MVP)</t>
  </si>
  <si>
    <t>Hoàn thành luồng chính hoặc chức năng cốt lõi ở mức chạy được từ đầu đến cuối. Không ưu tiên giao diện hoặc tối ưu sớm.</t>
  </si>
  <si>
    <t>MVP / prototype chạy được</t>
  </si>
  <si>
    <t>SDN campus chạy, chi nhánh DHCP OK; còn hoàn thiện overlay SD-WAN (dán config vEdge)</t>
  </si>
  <si>
    <t>Hoàn thiện các thành phần chính</t>
  </si>
  <si>
    <t>Phát triển đầy đủ các module, chức năng, thuật toán, cấu hình hoặc bước thí nghiệm còn thiếu; cập nhật tài liệu kỹ thuật song song.</t>
  </si>
  <si>
    <t>Các thành phần chính hoàn tất độc lập</t>
  </si>
  <si>
    <t>Còn: DHCP-Server campus (node 72), dán config vEdge, vManager/vSmart/vBond GUI, OVS scripts host 2</t>
  </si>
  <si>
    <t>Tích hợp các thành phần và luồng hoàn chỉnh</t>
  </si>
  <si>
    <t>Kết nối các module; xử lý interface, dữ liệu trung gian, cấu hình và phụ thuộc; kiểm tra luồng từ input đến output.</t>
  </si>
  <si>
    <t>Phiên bản tích hợp hoàn chỉnh</t>
  </si>
  <si>
    <t>Debug, ổn định và chuẩn hóa phiên bản</t>
  </si>
  <si>
    <t>Sửa lỗi, xử lý trường hợp biên, làm sạch cấu hình/mã nguồn, ghi phiên bản ổn định. Chỉ giữ các thay đổi cần thiết để phục vụ đánh giá.</t>
  </si>
  <si>
    <t>Release/Version ổn định để đưa vào đánh giá</t>
  </si>
  <si>
    <t>Duy trì nhật ký kỹ thuật và bằng chứng</t>
  </si>
  <si>
    <t>Trong suốt giai đoạn triển khai, lưu screenshot/log/output/commit/ghi chú lỗi và cách xử lý để sau này viết báo cáo không phải làm lại.</t>
  </si>
  <si>
    <t>Technical log + evidence folder + lịch sử phiên bản</t>
  </si>
  <si>
    <t>SKILL.md + git log + configs/ lưu nhật ký + bằng chứng từng phiên</t>
  </si>
  <si>
    <t>IV. KIỂM THỬ &amp; ĐÁNH GIÁ</t>
  </si>
  <si>
    <t>Chạy các kịch bản kiểm thử chính thức</t>
  </si>
  <si>
    <t>Thực hiện đúng test plan đã chốt; ghi điều kiện test, phiên bản, dữ liệu đầu vào, kết quả thực tế và các trường hợp bất thường.</t>
  </si>
  <si>
    <t>Bảng kết quả test + bằng chứng</t>
  </si>
  <si>
    <t>Thu thập và làm sạch dữ liệu / kết quả</t>
  </si>
  <si>
    <t>Lặp lại phép đo nếu cần; loại dữ liệu sai có lý do; chuẩn hóa đơn vị, tên file, cấu trúc dữ liệu. Đảm bảo có thể truy vết từ biểu đồ về dữ liệu gốc.</t>
  </si>
  <si>
    <t>Dataset/result set sạch + raw data lưu riêng</t>
  </si>
  <si>
    <t>Phân tích kết quả và tạo bảng/biểu đồ</t>
  </si>
  <si>
    <t>Tổng hợp metric; so sánh với baseline hoặc yêu cầu ban đầu; tạo biểu đồ, bảng, hình minh họa; chỉ ra xu hướng và kết quả đáng chú ý.</t>
  </si>
  <si>
    <t>Bộ bảng/biểu đồ cuối + phần nhận xét sơ bộ</t>
  </si>
  <si>
    <t>Đối chiếu mục tiêu, hạn chế và độ tin cậy</t>
  </si>
  <si>
    <t>Trả lời từng mục tiêu/câu hỏi ban đầu bằng kết quả thu được. Nêu giới hạn, trường hợp chưa xử lý, sai số, rủi ro và hướng cải tiến.</t>
  </si>
  <si>
    <t>Bảng đối chiếu Objective → Evidence → Conclusion + Limitations</t>
  </si>
  <si>
    <t>V. VIẾT &amp; HOÀN THIỆN BÁO CÁO</t>
  </si>
  <si>
    <t>Lập outline và viết các phần nền tảng</t>
  </si>
  <si>
    <t>Chốt mục lục; viết Introduction/Background/Related Work/Requirement/Methodology hoặc các chương tương đương theo yêu cầu môn học.</t>
  </si>
  <si>
    <t>Khoảng 40–50% bản thảo + outline cố định</t>
  </si>
  <si>
    <t>Viết phần triển khai, kiểm thử và kết quả</t>
  </si>
  <si>
    <t>Dùng trực tiếp technical log, evidence và số liệu đã thu thập; mô tả đủ để người khác hiểu cách thực hiện và kiểm chứng kết quả.</t>
  </si>
  <si>
    <t>Bản thảo gần đầy đủ các phần Implementation/Evaluation/Results</t>
  </si>
  <si>
    <t>Hoàn thành bản thảo đầy đủ</t>
  </si>
  <si>
    <t>Bổ sung Discussion/Conclusion/Future Work; kiểm tra các hình, bảng, phụ lục, danh mục tài liệu; không để placeholder quan trọng.</t>
  </si>
  <si>
    <t>Bản thảo 100% nội dung – version review</t>
  </si>
  <si>
    <t>Review chéo / nhận góp ý và chỉnh sửa</t>
  </si>
  <si>
    <t>Tự đọc như người chấm; nhờ thành viên/giảng viên phản biện; kiểm tra logic, thuật ngữ, số liệu, trích dẫn và sự nhất quán giữa báo cáo với sản phẩm.</t>
  </si>
  <si>
    <t>Danh sách feedback đã xử lý + bản sửa lần cuối</t>
  </si>
  <si>
    <t>Chốt BÁO CÁO SẠCH trước ≥ 2 tuần</t>
  </si>
  <si>
    <t>Hoàn tất nội dung, chính tả, định dạng, caption, đánh số hình/bảng, mục lục, tài liệu tham khảo, phụ lục và kiểm tra trùng lặp theo yêu cầu. Sau mốc này không thêm nội dung lớn nếu không bắt buộc.</t>
  </si>
  <si>
    <t>BẢN BÁO CÁO SẠCH / FINAL CONTENT – sẵn sàng nộp</t>
  </si>
  <si>
    <t>MỐC BẮT BUỘC</t>
  </si>
  <si>
    <t>VI. ĐÓNG GÓI, TRÌNH BÀY &amp; DỰ PHÒNG</t>
  </si>
  <si>
    <t>Chuẩn bị slide / poster / demo</t>
  </si>
  <si>
    <t>Chuyển nội dung chính thành bài trình bày ngắn gọn: vấn đề, phương pháp, kết quả, đóng góp và demo. Ưu tiên thông điệp hơn chi tiết.</t>
  </si>
  <si>
    <t>Slide/poster/demo version hoàn chỉnh</t>
  </si>
  <si>
    <t>Đóng gói source code, dữ liệu và phụ lục</t>
  </si>
  <si>
    <t>Làm sạch repo, README, cấu hình, dữ liệu mẫu, file kết quả, hướng dẫn chạy, danh sách dependency và các file cần nộp.</t>
  </si>
  <si>
    <t>Submission package tái tạo được</t>
  </si>
  <si>
    <t>Tập thuyết trình và chuẩn bị câu hỏi phản biện</t>
  </si>
  <si>
    <t>Chạy thử đúng thời lượng; chia phần trình bày; chuẩn bị câu trả lời cho mục tiêu, lý do chọn phương pháp, số liệu, hạn chế và hướng phát triển.</t>
  </si>
  <si>
    <t>Kịch bản thuyết trình + Q&amp;A checklist</t>
  </si>
  <si>
    <t>Kiểm tra cuối và giữ buffer xử lý sự cố</t>
  </si>
  <si>
    <t>Kiểm tra tên file, định dạng, link, quyền truy cập, demo offline, backup và yêu cầu nộp. Chỉ xử lý lỗi bắt buộc; tránh thay đổi lớn vào phút cuối.</t>
  </si>
  <si>
    <t>Bộ hồ sơ cuối + ít nhất 2 bản backup</t>
  </si>
  <si>
    <t>Nộp / bảo vệ / trình bày theo deadline</t>
  </si>
  <si>
    <t>Thực hiện nộp bài, demo hoặc bảo vệ theo yêu cầu chính thức. Xác nhận đã nộp thành công và lưu lại bằng chứng.</t>
  </si>
  <si>
    <t>Xác nhận nộp / hoàn thành trình bày</t>
  </si>
  <si>
    <t>DEADLINE</t>
  </si>
  <si>
    <t>HƯỚNG DẪN SỬ DỤNG TEMPLATE</t>
  </si>
  <si>
    <t>Mục</t>
  </si>
  <si>
    <t>Bạn cần chỉnh gì?</t>
  </si>
  <si>
    <t>Cách sử dụng</t>
  </si>
  <si>
    <t>Nên giữ cố định</t>
  </si>
  <si>
    <t>Ví dụ thay thế</t>
  </si>
  <si>
    <t>Lưu ý</t>
  </si>
  <si>
    <t>1</t>
  </si>
  <si>
    <t>Thông tin đầu trang</t>
  </si>
  <si>
    <t>Điền tên đề tài, nhóm, giảng viên và mục tiêu.</t>
  </si>
  <si>
    <t>Ngày bắt đầu 08/08/2026; deadline 21/11/2026 nếu lớp dùng chung mốc này.</t>
  </si>
  <si>
    <t>Website / AI / IoT / Network / Data / Mobile / Research…</t>
  </si>
  <si>
    <t>Không để tên đề tài mẫu.</t>
  </si>
  <si>
    <t>2</t>
  </si>
  <si>
    <t>Tên hạng mục công việc</t>
  </si>
  <si>
    <t>Đổi tên để khớp với đề tài thực tế nhưng giữ logic của từng giai đoạn.</t>
  </si>
  <si>
    <t>Thứ tự: định hướng → thiết kế → triển khai → đánh giá → viết → đóng gói.</t>
  </si>
  <si>
    <t>“Xây dựng MVP” → “Huấn luyện mô hình baseline” hoặc “Dựng lab prototype”.</t>
  </si>
  <si>
    <t>Không cần giữ nguyên từ ngữ.</t>
  </si>
  <si>
    <t>3</t>
  </si>
  <si>
    <t>Nội dung cần thực hiện</t>
  </si>
  <si>
    <t>Viết rõ nhóm sẽ làm những thao tác cụ thể nào.</t>
  </si>
  <si>
    <t>Mỗi dòng phải đủ để biết khi nào công việc được xem là xong.</t>
  </si>
  <si>
    <t>“Thu thập dữ liệu” → ghi nguồn, số lượng, cách làm sạch.</t>
  </si>
  <si>
    <t>Tránh ghi quá chung như “Làm project”.</t>
  </si>
  <si>
    <t>4</t>
  </si>
  <si>
    <t>Kết quả đầu ra</t>
  </si>
  <si>
    <t>Đổi thành artefact cụ thể có thể kiểm tra.</t>
  </si>
  <si>
    <t>Mỗi task nên có ít nhất 1 đầu ra.</t>
  </si>
  <si>
    <t>Code, diagram, dataset, test report, biểu đồ, video demo…</t>
  </si>
  <si>
    <t>Đầu ra càng cụ thể càng dễ quản lý tiến độ.</t>
  </si>
  <si>
    <t>5</t>
  </si>
  <si>
    <t>Ngày bắt đầu / hạn</t>
  </si>
  <si>
    <t>Có thể dịch chuyển theo độ khó và lịch học.</t>
  </si>
  <si>
    <t>Báo cáo sạch phải hoàn tất chậm nhất 06/11/2026 trong template này.</t>
  </si>
  <si>
    <t>Task khó có thể kéo dài 2–3 tuần và chồng lấn.</t>
  </si>
  <si>
    <t>Không dồn viết báo cáo vào 2 tuần cuối.</t>
  </si>
  <si>
    <t>6</t>
  </si>
  <si>
    <t>Chọn từ dropdown: Chưa bắt đầu / Đang thực hiện / Hoàn thành / Tạm hoãn – Bị chặn.</t>
  </si>
  <si>
    <t>Cập nhật ít nhất 1 lần/tuần.</t>
  </si>
  <si>
    <t>Một task chỉ “Hoàn thành” khi đầu ra đã tồn tại.</t>
  </si>
  <si>
    <t>Không đánh Done chỉ vì đã bắt đầu.</t>
  </si>
  <si>
    <t>7</t>
  </si>
  <si>
    <t>Người phụ trách / ghi chú</t>
  </si>
  <si>
    <t>Ghi tên người chịu trách nhiệm chính, blocker hoặc link tài liệu.</t>
  </si>
  <si>
    <t>Mỗi task nên có owner chính nếu làm theo nhóm.</t>
  </si>
  <si>
    <t>An – owner; Bình – reviewer; Link Git/Drive.</t>
  </si>
  <si>
    <t>Có thể ghi nhiều người nhưng chỉ nên có 1 owner.</t>
  </si>
  <si>
    <t>8</t>
  </si>
  <si>
    <t>Gantt tuần</t>
  </si>
  <si>
    <t>Tự động tham chiếu ngày bắt đầu và hạn hoàn thành từ Timeline tổng quan.</t>
  </si>
  <si>
    <t>Không sửa công thức trong vùng tuần nếu không cần.</t>
  </si>
  <si>
    <t>Chỉ cần đổi ngày ở sheet chính.</t>
  </si>
  <si>
    <t>Dùng để nhìn chồng lấn và tuần quá tải.</t>
  </si>
  <si>
    <t>MỐC QUẢN TRỊ KHUYẾN NGHỊ</t>
  </si>
  <si>
    <t>06/11/2026</t>
  </si>
  <si>
    <t>Báo cáo sạch hoàn tất</t>
  </si>
  <si>
    <t>Nội dung, trích dẫn, hình/bảng và định dạng đã chốt.</t>
  </si>
  <si>
    <t>Sau mốc này chỉ nên sửa lỗi bắt buộc.</t>
  </si>
  <si>
    <t>Buffer cuối</t>
  </si>
  <si>
    <t>Slide, demo, đóng gói source/data, rehearsal và dự phòng sự cố.</t>
  </si>
  <si>
    <t>Không dùng buffer để viết lại báo cáo từ đầu.</t>
  </si>
  <si>
    <t>GANTT TUẦN – TỰ ĐỘNG THEO NGÀY Ở SHEET “TIMELINE TỔNG QUAN”</t>
  </si>
  <si>
    <t>Hạng mục</t>
  </si>
  <si>
    <t>Chú thích</t>
  </si>
  <si>
    <t>■</t>
  </si>
  <si>
    <t>Task đang hoạt động trong tuần</t>
  </si>
  <si>
    <t>Phải hoàn tất trước ít nhất 2 tuần</t>
  </si>
  <si>
    <t>Deadline</t>
  </si>
  <si>
    <t>21/11/2026</t>
  </si>
  <si>
    <t>Nộp /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</si>
</sst>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
  </numFmts>
  <fonts count="9">
    <font>
      <sz val="11"/>
      <name val="Carlito"/>
    </font>
    <font>
      <b/>
      <sz val="16"/>
      <color rgb="FFFFFFFF"/>
      <name val="Carlito"/>
    </font>
    <font>
      <b/>
      <sz val="11"/>
      <color rgb="FF1F1F1F"/>
      <name val="Carlito"/>
    </font>
    <font>
      <b/>
      <sz val="12"/>
      <color rgb="FFFFFFFF"/>
      <name val="Carlito"/>
    </font>
    <font>
      <b/>
      <sz val="11"/>
      <name val="Carlito"/>
    </font>
    <font>
      <b/>
      <sz val="13"/>
      <name val="Carlito"/>
    </font>
    <font>
      <b/>
      <sz val="11"/>
      <color rgb="FFFFFFFF"/>
      <name val="Carlito"/>
    </font>
    <font>
      <b/>
      <sz val="14"/>
      <color rgb="FFFFFFFF"/>
      <name val="Carlito"/>
    </font>
    <font>
      <b/>
      <sz val="11"/>
      <color rgb="FF1F4E78"/>
      <name val="Carlito"/>
    </font>
  </fonts>
  <fills count="14">
    <fill>
      <patternFill patternType="none"/>
    </fill>
    <fill>
      <patternFill patternType="gray125"/>
    </fill>
    <fill>
      <patternFill patternType="solid">
        <fgColor rgb="FF1F4E78"/>
      </patternFill>
    </fill>
    <fill>
      <patternFill patternType="solid">
        <fgColor rgb="FFD9EAF7"/>
      </patternFill>
    </fill>
    <fill>
      <patternFill patternType="solid">
        <fgColor rgb="FFEAF3F8"/>
      </patternFill>
    </fill>
    <fill>
      <patternFill patternType="solid">
        <fgColor rgb="FF5B9BD5"/>
      </patternFill>
    </fill>
    <fill>
      <patternFill patternType="solid">
        <fgColor rgb="FFF2F2F2"/>
      </patternFill>
    </fill>
    <fill>
      <patternFill patternType="solid">
        <fgColor rgb="FFE2F0D9"/>
      </patternFill>
    </fill>
    <fill>
      <patternFill patternType="solid">
        <fgColor rgb="FFFFF2CC"/>
      </patternFill>
    </fill>
    <fill>
      <patternFill patternType="solid">
        <fgColor rgb="FFFCE4D6"/>
      </patternFill>
    </fill>
    <fill>
      <patternFill patternType="solid">
        <fgColor rgb="FFE4DFEC"/>
      </patternFill>
    </fill>
    <fill>
      <patternFill patternType="solid">
        <fgColor rgb="FFDDEBF7"/>
      </patternFill>
    </fill>
    <fill>
      <patternFill patternType="solid">
        <fgColor rgb="FFC6E0B4"/>
      </patternFill>
    </fill>
    <fill>
      <patternFill patternType="solid">
        <fgColor rgb="FFFFD966"/>
      </patternFill>
    </fill>
  </fills>
  <borders count="12">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xfId="0"/>
    <xf numFmtId="0" fontId="0" fillId="0" borderId="0" xfId="0" applyAlignment="1">
      <alignment wrapText="1"/>
    </xf>
    <xf numFmtId="0" fontId="0" fillId="0" borderId="0" xfId="0" applyAlignment="1">
      <alignment vertical="center" wrapText="1"/>
    </xf>
    <xf numFmtId="0" fontId="4" fillId="6" borderId="0" xfId="0" applyFont="1" applyFill="1" applyAlignment="1">
      <alignment horizontal="center" wrapText="1"/>
    </xf>
    <xf numFmtId="14" fontId="4" fillId="7" borderId="0" xfId="0" applyNumberFormat="1" applyFont="1" applyFill="1" applyAlignment="1">
      <alignment horizontal="center"/>
    </xf>
    <xf numFmtId="0" fontId="5" fillId="4" borderId="0" xfId="0" applyFont="1" applyFill="1" applyAlignment="1">
      <alignment horizontal="center"/>
    </xf>
    <xf numFmtId="0" fontId="0" fillId="0" borderId="0" xfId="0" applyAlignment="1">
      <alignment vertical="top"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0" borderId="4" xfId="0" applyBorder="1"/>
    <xf numFmtId="0" fontId="0" fillId="0" borderId="4" xfId="0" applyBorder="1" applyAlignment="1">
      <alignment vertical="top" wrapText="1"/>
    </xf>
    <xf numFmtId="0" fontId="0" fillId="0" borderId="5" xfId="0" applyBorder="1" applyAlignment="1">
      <alignment vertical="top" wrapText="1"/>
    </xf>
    <xf numFmtId="0" fontId="0" fillId="0" borderId="4" xfId="0" applyBorder="1" applyAlignment="1">
      <alignment horizontal="center" vertical="top" wrapText="1"/>
    </xf>
    <xf numFmtId="0" fontId="2" fillId="12" borderId="4" xfId="0" applyFont="1" applyFill="1" applyBorder="1" applyAlignment="1">
      <alignment horizontal="center" vertical="top" wrapText="1"/>
    </xf>
    <xf numFmtId="0" fontId="2" fillId="13" borderId="6" xfId="0" applyFont="1" applyFill="1" applyBorder="1" applyAlignment="1">
      <alignment horizontal="center" vertical="top" wrapText="1"/>
    </xf>
    <xf numFmtId="0" fontId="6" fillId="2" borderId="1" xfId="0" applyFont="1" applyFill="1" applyBorder="1" applyAlignment="1">
      <alignment horizontal="center" wrapText="1"/>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4" borderId="0" xfId="0" applyFill="1" applyAlignment="1">
      <alignment wrapText="1"/>
    </xf>
    <xf numFmtId="0" fontId="8" fillId="0" borderId="0" xfId="0" applyFont="1" applyAlignment="1">
      <alignment horizontal="center" vertical="center" wrapText="1"/>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3" xfId="0" applyNumberFormat="1" applyFont="1" applyFill="1" applyBorder="1" applyAlignment="1">
      <alignment horizontal="center" vertical="center" wrapText="1"/>
    </xf>
    <xf numFmtId="0" fontId="0" fillId="0" borderId="4" xfId="0" applyBorder="1" applyAlignment="1">
      <alignment vertical="center" wrapText="1"/>
    </xf>
    <xf numFmtId="0" fontId="8" fillId="0" borderId="5" xfId="0" applyFont="1"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14" fontId="4" fillId="7" borderId="0" xfId="0" applyNumberFormat="1" applyFont="1" applyFill="1" applyAlignment="1">
      <alignment horizontal="center" vertical="center" wrapText="1"/>
    </xf>
    <xf numFmtId="14" fontId="0" fillId="4" borderId="0" xfId="0" applyNumberFormat="1" applyFill="1" applyAlignment="1">
      <alignment horizontal="center" vertical="center" wrapText="1"/>
    </xf>
    <xf numFmtId="14" fontId="0" fillId="4" borderId="3" xfId="0" applyNumberFormat="1" applyFill="1" applyBorder="1" applyAlignment="1">
      <alignment horizontal="center" vertical="center" wrapText="1"/>
    </xf>
    <xf numFmtId="0" fontId="0" fillId="4" borderId="5" xfId="0" applyFill="1" applyBorder="1" applyAlignment="1">
      <alignment vertical="center" wrapText="1"/>
    </xf>
    <xf numFmtId="0" fontId="0" fillId="0" borderId="9" xfId="0" applyBorder="1" applyAlignment="1">
      <alignment vertical="top" wrapText="1"/>
    </xf>
    <xf numFmtId="14" fontId="0" fillId="0" borderId="9" xfId="0" applyNumberFormat="1" applyBorder="1" applyAlignment="1">
      <alignment horizontal="center" vertical="top" wrapText="1"/>
    </xf>
    <xf numFmtId="0" fontId="2" fillId="12" borderId="9" xfId="0" applyFont="1" applyFill="1" applyBorder="1" applyAlignment="1">
      <alignment vertical="center" wrapText="1"/>
    </xf>
    <xf numFmtId="0" fontId="2" fillId="12" borderId="9" xfId="0" applyFont="1" applyFill="1" applyBorder="1" applyAlignment="1">
      <alignment vertical="top" wrapText="1"/>
    </xf>
    <xf numFmtId="14" fontId="2" fillId="12" borderId="9" xfId="0" applyNumberFormat="1" applyFont="1" applyFill="1" applyBorder="1" applyAlignment="1">
      <alignment horizontal="center" vertical="top" wrapText="1"/>
    </xf>
    <xf numFmtId="0" fontId="2" fillId="13" borderId="9" xfId="0" applyFont="1" applyFill="1" applyBorder="1" applyAlignment="1">
      <alignment vertical="center" wrapText="1"/>
    </xf>
    <xf numFmtId="0" fontId="2" fillId="13" borderId="9" xfId="0" applyFont="1" applyFill="1" applyBorder="1" applyAlignment="1">
      <alignment vertical="top" wrapText="1"/>
    </xf>
    <xf numFmtId="14" fontId="2" fillId="13" borderId="9" xfId="0" applyNumberFormat="1" applyFont="1" applyFill="1" applyBorder="1" applyAlignment="1">
      <alignment horizontal="center" vertical="top" wrapText="1"/>
    </xf>
    <xf numFmtId="0" fontId="0" fillId="0" borderId="0" xfId="0"/>
    <xf numFmtId="0" fontId="0" fillId="0" borderId="5" xfId="0" applyBorder="1"/>
    <xf numFmtId="0" fontId="1" fillId="2" borderId="0" xfId="0" applyFont="1" applyFill="1" applyAlignment="1">
      <alignment horizontal="center" vertical="center"/>
    </xf>
    <xf numFmtId="0" fontId="4" fillId="11" borderId="9"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2" fillId="3" borderId="4" xfId="0" applyFont="1" applyFill="1" applyBorder="1" applyAlignment="1">
      <alignment vertical="center" wrapText="1"/>
    </xf>
    <xf numFmtId="0" fontId="4" fillId="8" borderId="9" xfId="0" applyFont="1" applyFill="1" applyBorder="1" applyAlignment="1">
      <alignment horizontal="center" vertical="center" wrapText="1"/>
    </xf>
    <xf numFmtId="0" fontId="4" fillId="9" borderId="9" xfId="0" applyFont="1" applyFill="1" applyBorder="1" applyAlignment="1">
      <alignment horizontal="center" vertical="center" wrapText="1"/>
    </xf>
    <xf numFmtId="0" fontId="2" fillId="3" borderId="0" xfId="0" applyFont="1" applyFill="1" applyAlignment="1">
      <alignment vertical="center" wrapText="1"/>
    </xf>
    <xf numFmtId="0" fontId="4" fillId="7" borderId="9" xfId="0" applyFont="1" applyFill="1" applyBorder="1" applyAlignment="1">
      <alignment horizontal="center" vertical="center" wrapText="1"/>
    </xf>
    <xf numFmtId="0" fontId="2" fillId="4" borderId="5" xfId="0" applyFont="1" applyFill="1" applyBorder="1" applyAlignment="1">
      <alignment vertical="center" wrapText="1"/>
    </xf>
    <xf numFmtId="0" fontId="0" fillId="4" borderId="8" xfId="0" applyFill="1" applyBorder="1" applyAlignment="1">
      <alignment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4" fillId="3" borderId="9" xfId="0" applyFont="1" applyFill="1" applyBorder="1" applyAlignment="1">
      <alignment horizontal="center" vertical="center" wrapText="1"/>
    </xf>
    <xf numFmtId="0" fontId="3" fillId="5" borderId="0" xfId="0" applyFont="1" applyFill="1" applyAlignment="1">
      <alignment horizontal="center"/>
    </xf>
    <xf numFmtId="0" fontId="4" fillId="3" borderId="6" xfId="0" applyFont="1" applyFill="1" applyBorder="1" applyAlignment="1">
      <alignment vertical="center" wrapText="1"/>
    </xf>
    <xf numFmtId="0" fontId="0" fillId="4" borderId="0" xfId="0" applyFill="1" applyAlignment="1">
      <alignment vertical="center" wrapText="1"/>
    </xf>
    <xf numFmtId="14" fontId="4" fillId="3" borderId="0" xfId="0" applyNumberFormat="1" applyFont="1" applyFill="1" applyAlignment="1">
      <alignment vertical="center" wrapText="1"/>
    </xf>
    <xf numFmtId="0" fontId="0" fillId="4" borderId="2" xfId="0" applyFill="1" applyBorder="1" applyAlignment="1">
      <alignment vertical="center" wrapText="1"/>
    </xf>
    <xf numFmtId="0" fontId="6" fillId="5" borderId="0" xfId="0" applyFont="1" applyFill="1" applyAlignment="1">
      <alignment horizontal="center"/>
    </xf>
    <xf numFmtId="0" fontId="1" fillId="2" borderId="0" xfId="0" applyFont="1" applyFill="1" applyAlignment="1">
      <alignment horizontal="center"/>
    </xf>
    <xf numFmtId="0" fontId="7" fillId="2" borderId="0" xfId="0" applyFont="1" applyFill="1" applyAlignment="1">
      <alignment horizontal="center"/>
    </xf>
    <xf numFmtId="0" fontId="4" fillId="6" borderId="0" xfId="0" applyFont="1" applyFill="1" applyAlignment="1">
      <alignment horizontal="center"/>
    </xf>
    <xf numFmtId="0" fontId="0" fillId="0" borderId="0" xfId="0" applyAlignment="1"/>
    <xf numFmtId="0" fontId="0" fillId="0" borderId="2" xfId="0" applyBorder="1" applyAlignment="1"/>
    <xf numFmtId="0" fontId="0" fillId="0" borderId="5" xfId="0" applyBorder="1" applyAlignment="1"/>
    <xf numFmtId="0" fontId="0" fillId="0" borderId="7" xfId="0" applyBorder="1" applyAlignment="1"/>
    <xf numFmtId="0" fontId="0" fillId="0" borderId="8" xfId="0" applyBorder="1" applyAlignment="1"/>
    <xf numFmtId="0" fontId="0" fillId="0" borderId="10" xfId="0" applyBorder="1" applyAlignment="1"/>
    <xf numFmtId="0" fontId="0" fillId="0" borderId="11" xfId="0" applyBorder="1" applyAlignment="1"/>
  </cellXfs>
  <cellStyles count="1">
    <cellStyle name="Bình thường" xfId="0" builtinId="0"/>
  </cellStyles>
  <dxfs count="3">
    <dxf>
      <font>
        <b/>
        <color rgb="FF9C0006"/>
      </font>
      <fill>
        <patternFill patternType="solid">
          <bgColor rgb="FFFCE4D6"/>
        </patternFill>
      </fill>
    </dxf>
    <dxf>
      <font>
        <b/>
        <color rgb="FF9C6500"/>
      </font>
      <fill>
        <patternFill patternType="solid">
          <bgColor rgb="FFFFF2CC"/>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58" zoomScaleNormal="100" workbookViewId="0">
      <selection activeCell="L15" sqref="L15"/>
    </sheetView>
  </sheetViews>
  <sheetFormatPr defaultRowHeight="14.25"/>
  <cols>
    <col min="1" max="1" width="21.375" customWidth="1"/>
    <col min="2" max="2" width="28" customWidth="1"/>
    <col min="3" max="3" width="34" customWidth="1"/>
    <col min="4" max="4" width="55" customWidth="1"/>
    <col min="5" max="5" width="14" customWidth="1"/>
    <col min="6" max="6" width="16.625" customWidth="1"/>
    <col min="7" max="7" width="38" customWidth="1"/>
    <col min="8" max="8" width="18" customWidth="1"/>
    <col min="9" max="9" width="84.625" customWidth="1"/>
  </cols>
  <sheetData>
    <row r="1" spans="1:9" ht="15" customHeight="1">
      <c r="A1" s="48" t="s">
        <v>0</v>
      </c>
      <c r="B1" s="70"/>
      <c r="C1" s="70"/>
      <c r="D1" s="70"/>
      <c r="E1" s="70"/>
      <c r="F1" s="70"/>
      <c r="G1" s="70"/>
      <c r="H1" s="70"/>
      <c r="I1" s="70"/>
    </row>
    <row r="3" spans="1:9" ht="14.1" customHeight="1">
      <c r="A3" s="58" t="s">
        <v>1</v>
      </c>
      <c r="B3" s="71"/>
      <c r="C3" s="65" t="s">
        <v>2</v>
      </c>
      <c r="D3" s="71"/>
      <c r="E3" s="71"/>
      <c r="F3" s="71"/>
      <c r="G3" s="59" t="s">
        <v>3</v>
      </c>
      <c r="H3" s="71"/>
      <c r="I3" s="36">
        <v>46242</v>
      </c>
    </row>
    <row r="4" spans="1:9" ht="14.1" customHeight="1">
      <c r="A4" s="51" t="s">
        <v>4</v>
      </c>
      <c r="B4" s="70"/>
      <c r="C4" s="63" t="s">
        <v>5</v>
      </c>
      <c r="D4" s="70"/>
      <c r="E4" s="64" t="s">
        <v>6</v>
      </c>
      <c r="F4" s="70"/>
      <c r="G4" s="56" t="s">
        <v>7</v>
      </c>
      <c r="H4" s="70"/>
      <c r="I4" s="72"/>
    </row>
    <row r="5" spans="1:9" ht="14.1" customHeight="1">
      <c r="A5" s="51" t="s">
        <v>8</v>
      </c>
      <c r="B5" s="70"/>
      <c r="C5" s="35">
        <v>46347</v>
      </c>
      <c r="D5" s="54" t="s">
        <v>9</v>
      </c>
      <c r="E5" s="70"/>
      <c r="F5" s="34">
        <v>46332</v>
      </c>
      <c r="G5" s="54" t="s">
        <v>10</v>
      </c>
      <c r="H5" s="70"/>
      <c r="I5" s="37" t="s">
        <v>11</v>
      </c>
    </row>
    <row r="6" spans="1:9" ht="14.1" customHeight="1">
      <c r="A6" s="62" t="s">
        <v>12</v>
      </c>
      <c r="B6" s="73"/>
      <c r="C6" s="57" t="s">
        <v>13</v>
      </c>
      <c r="D6" s="73"/>
      <c r="E6" s="73"/>
      <c r="F6" s="73"/>
      <c r="G6" s="73"/>
      <c r="H6" s="73"/>
      <c r="I6" s="74"/>
    </row>
    <row r="7" spans="1:9" ht="15" customHeight="1">
      <c r="A7" s="61" t="s">
        <v>14</v>
      </c>
      <c r="B7" s="70"/>
      <c r="C7" s="70"/>
      <c r="D7" s="70"/>
      <c r="E7" s="70"/>
      <c r="F7" s="70"/>
      <c r="G7" s="70"/>
      <c r="H7" s="70"/>
      <c r="I7" s="70"/>
    </row>
    <row r="8" spans="1:9" ht="41.65" customHeight="1">
      <c r="A8" s="3" t="s">
        <v>15</v>
      </c>
      <c r="B8" s="3"/>
      <c r="C8" s="3" t="s">
        <v>16</v>
      </c>
      <c r="D8" s="3"/>
      <c r="E8" s="3" t="s">
        <v>17</v>
      </c>
      <c r="F8" s="3"/>
      <c r="G8" s="3" t="s">
        <v>18</v>
      </c>
      <c r="H8" s="3"/>
      <c r="I8" s="3" t="s">
        <v>19</v>
      </c>
    </row>
    <row r="9" spans="1:9" ht="16.899999999999999" customHeight="1">
      <c r="A9" s="5">
        <f>COUNTA(C13:C39)</f>
        <v>27</v>
      </c>
      <c r="B9" s="46"/>
      <c r="C9" s="5">
        <f>COUNTIF(H13:H39,"Hoàn thành")</f>
        <v>7</v>
      </c>
      <c r="D9" s="46"/>
      <c r="E9" s="5">
        <f>COUNTIF(H13:H39,"Đang thực hiện")</f>
        <v>3</v>
      </c>
      <c r="F9" s="46"/>
      <c r="G9" s="5">
        <f>COUNTIF(H13:H39,"Chưa bắt đầu")</f>
        <v>17</v>
      </c>
      <c r="H9" s="46"/>
      <c r="I9" s="4">
        <v>46332</v>
      </c>
    </row>
    <row r="11" spans="1:9" ht="19.149999999999999" customHeight="1">
      <c r="A11" s="7" t="s">
        <v>20</v>
      </c>
      <c r="B11" s="8" t="s">
        <v>21</v>
      </c>
      <c r="C11" s="8" t="s">
        <v>22</v>
      </c>
      <c r="D11" s="8" t="s">
        <v>23</v>
      </c>
      <c r="E11" s="8" t="s">
        <v>24</v>
      </c>
      <c r="F11" s="8" t="s">
        <v>25</v>
      </c>
      <c r="G11" s="8" t="s">
        <v>26</v>
      </c>
      <c r="H11" s="8" t="s">
        <v>27</v>
      </c>
      <c r="I11" s="9" t="s">
        <v>28</v>
      </c>
    </row>
    <row r="12" spans="1:9">
      <c r="A12" s="10"/>
      <c r="B12" s="46"/>
      <c r="C12" s="46"/>
      <c r="D12" s="46"/>
      <c r="E12" s="46"/>
      <c r="F12" s="46"/>
      <c r="G12" s="46"/>
      <c r="H12" s="46"/>
      <c r="I12" s="47"/>
    </row>
    <row r="13" spans="1:9" ht="40.5" customHeight="1">
      <c r="A13" s="13">
        <v>1</v>
      </c>
      <c r="B13" s="60" t="s">
        <v>29</v>
      </c>
      <c r="C13" s="38" t="s">
        <v>30</v>
      </c>
      <c r="D13" s="38" t="s">
        <v>31</v>
      </c>
      <c r="E13" s="39">
        <v>46242</v>
      </c>
      <c r="F13" s="39">
        <v>46242</v>
      </c>
      <c r="G13" s="38" t="s">
        <v>32</v>
      </c>
      <c r="H13" s="38" t="s">
        <v>16</v>
      </c>
      <c r="I13" s="38" t="s">
        <v>33</v>
      </c>
    </row>
    <row r="14" spans="1:9" ht="40.5" customHeight="1">
      <c r="A14" s="13">
        <v>2</v>
      </c>
      <c r="B14" s="75"/>
      <c r="C14" s="38" t="s">
        <v>34</v>
      </c>
      <c r="D14" s="38" t="s">
        <v>35</v>
      </c>
      <c r="E14" s="39">
        <v>46242</v>
      </c>
      <c r="F14" s="39">
        <v>46246</v>
      </c>
      <c r="G14" s="38" t="s">
        <v>36</v>
      </c>
      <c r="H14" s="38" t="s">
        <v>16</v>
      </c>
      <c r="I14" s="38" t="s">
        <v>37</v>
      </c>
    </row>
    <row r="15" spans="1:9" ht="40.5" customHeight="1">
      <c r="A15" s="13">
        <v>3</v>
      </c>
      <c r="B15" s="75"/>
      <c r="C15" s="38" t="s">
        <v>38</v>
      </c>
      <c r="D15" s="38" t="s">
        <v>39</v>
      </c>
      <c r="E15" s="39">
        <v>46242</v>
      </c>
      <c r="F15" s="39">
        <v>46246</v>
      </c>
      <c r="G15" s="38" t="s">
        <v>40</v>
      </c>
      <c r="H15" s="38" t="s">
        <v>16</v>
      </c>
      <c r="I15" s="38" t="s">
        <v>41</v>
      </c>
    </row>
    <row r="16" spans="1:9" ht="40.5" customHeight="1">
      <c r="A16" s="13">
        <v>4</v>
      </c>
      <c r="B16" s="76"/>
      <c r="C16" s="38" t="s">
        <v>42</v>
      </c>
      <c r="D16" s="38" t="s">
        <v>43</v>
      </c>
      <c r="E16" s="39">
        <v>46242</v>
      </c>
      <c r="F16" s="39">
        <v>46246</v>
      </c>
      <c r="G16" s="38" t="s">
        <v>44</v>
      </c>
      <c r="H16" s="38" t="s">
        <v>16</v>
      </c>
      <c r="I16" s="38" t="s">
        <v>45</v>
      </c>
    </row>
    <row r="17" spans="1:9" ht="40.5" customHeight="1">
      <c r="A17" s="13">
        <v>5</v>
      </c>
      <c r="B17" s="55" t="s">
        <v>46</v>
      </c>
      <c r="C17" s="38" t="s">
        <v>47</v>
      </c>
      <c r="D17" s="38" t="s">
        <v>48</v>
      </c>
      <c r="E17" s="39">
        <v>46242</v>
      </c>
      <c r="F17" s="39">
        <v>46246</v>
      </c>
      <c r="G17" s="38" t="s">
        <v>49</v>
      </c>
      <c r="H17" s="38" t="s">
        <v>16</v>
      </c>
      <c r="I17" s="38" t="s">
        <v>50</v>
      </c>
    </row>
    <row r="18" spans="1:9" ht="40.5" customHeight="1">
      <c r="A18" s="13">
        <v>6</v>
      </c>
      <c r="B18" s="75"/>
      <c r="C18" s="38" t="s">
        <v>51</v>
      </c>
      <c r="D18" s="38" t="s">
        <v>52</v>
      </c>
      <c r="E18" s="39">
        <v>46242</v>
      </c>
      <c r="F18" s="39">
        <v>46246</v>
      </c>
      <c r="G18" s="38" t="s">
        <v>53</v>
      </c>
      <c r="H18" s="38" t="s">
        <v>16</v>
      </c>
      <c r="I18" s="38" t="s">
        <v>54</v>
      </c>
    </row>
    <row r="19" spans="1:9" ht="27" customHeight="1">
      <c r="A19" s="13">
        <v>7</v>
      </c>
      <c r="B19" s="75"/>
      <c r="C19" s="38" t="s">
        <v>55</v>
      </c>
      <c r="D19" s="38" t="s">
        <v>56</v>
      </c>
      <c r="E19" s="39">
        <v>46261</v>
      </c>
      <c r="F19" s="39">
        <v>46270</v>
      </c>
      <c r="G19" s="38" t="s">
        <v>57</v>
      </c>
      <c r="H19" s="38" t="s">
        <v>18</v>
      </c>
      <c r="I19" s="38"/>
    </row>
    <row r="20" spans="1:9" ht="40.5" customHeight="1">
      <c r="A20" s="13">
        <v>8</v>
      </c>
      <c r="B20" s="76"/>
      <c r="C20" s="38" t="s">
        <v>58</v>
      </c>
      <c r="D20" s="38" t="s">
        <v>59</v>
      </c>
      <c r="E20" s="39">
        <v>46242</v>
      </c>
      <c r="F20" s="39">
        <v>46246</v>
      </c>
      <c r="G20" s="38" t="s">
        <v>60</v>
      </c>
      <c r="H20" s="38" t="s">
        <v>16</v>
      </c>
      <c r="I20" s="38" t="s">
        <v>61</v>
      </c>
    </row>
    <row r="21" spans="1:9" ht="27.75" customHeight="1">
      <c r="A21" s="13">
        <v>9</v>
      </c>
      <c r="B21" s="52" t="s">
        <v>62</v>
      </c>
      <c r="C21" s="38" t="s">
        <v>63</v>
      </c>
      <c r="D21" s="38" t="s">
        <v>64</v>
      </c>
      <c r="E21" s="39">
        <v>46242</v>
      </c>
      <c r="F21" s="39">
        <v>46277</v>
      </c>
      <c r="G21" s="38" t="s">
        <v>65</v>
      </c>
      <c r="H21" s="38" t="s">
        <v>17</v>
      </c>
      <c r="I21" s="38" t="s">
        <v>66</v>
      </c>
    </row>
    <row r="22" spans="1:9" ht="40.5" customHeight="1">
      <c r="A22" s="13">
        <v>10</v>
      </c>
      <c r="B22" s="75"/>
      <c r="C22" s="38" t="s">
        <v>67</v>
      </c>
      <c r="D22" s="38" t="s">
        <v>68</v>
      </c>
      <c r="E22" s="39">
        <v>46242</v>
      </c>
      <c r="F22" s="39">
        <v>46284</v>
      </c>
      <c r="G22" s="38" t="s">
        <v>69</v>
      </c>
      <c r="H22" s="38" t="s">
        <v>17</v>
      </c>
      <c r="I22" s="38" t="s">
        <v>70</v>
      </c>
    </row>
    <row r="23" spans="1:9" ht="27.75" customHeight="1">
      <c r="A23" s="13">
        <v>11</v>
      </c>
      <c r="B23" s="75"/>
      <c r="C23" s="38" t="s">
        <v>71</v>
      </c>
      <c r="D23" s="38" t="s">
        <v>72</v>
      </c>
      <c r="E23" s="39">
        <v>46285</v>
      </c>
      <c r="F23" s="39">
        <v>46291</v>
      </c>
      <c r="G23" s="38" t="s">
        <v>73</v>
      </c>
      <c r="H23" s="38" t="s">
        <v>18</v>
      </c>
      <c r="I23" s="38"/>
    </row>
    <row r="24" spans="1:9" ht="40.5" customHeight="1">
      <c r="A24" s="13">
        <v>12</v>
      </c>
      <c r="B24" s="75"/>
      <c r="C24" s="38" t="s">
        <v>74</v>
      </c>
      <c r="D24" s="38" t="s">
        <v>75</v>
      </c>
      <c r="E24" s="39">
        <v>46292</v>
      </c>
      <c r="F24" s="39">
        <v>46298</v>
      </c>
      <c r="G24" s="38" t="s">
        <v>76</v>
      </c>
      <c r="H24" s="38" t="s">
        <v>18</v>
      </c>
      <c r="I24" s="38"/>
    </row>
    <row r="25" spans="1:9" ht="40.5" customHeight="1">
      <c r="A25" s="13">
        <v>13</v>
      </c>
      <c r="B25" s="76"/>
      <c r="C25" s="38" t="s">
        <v>77</v>
      </c>
      <c r="D25" s="38" t="s">
        <v>78</v>
      </c>
      <c r="E25" s="39">
        <v>46242</v>
      </c>
      <c r="F25" s="39">
        <v>46298</v>
      </c>
      <c r="G25" s="38" t="s">
        <v>79</v>
      </c>
      <c r="H25" s="38" t="s">
        <v>17</v>
      </c>
      <c r="I25" s="38" t="s">
        <v>80</v>
      </c>
    </row>
    <row r="26" spans="1:9" ht="27" customHeight="1">
      <c r="A26" s="13">
        <v>14</v>
      </c>
      <c r="B26" s="53" t="s">
        <v>81</v>
      </c>
      <c r="C26" s="38" t="s">
        <v>82</v>
      </c>
      <c r="D26" s="38" t="s">
        <v>83</v>
      </c>
      <c r="E26" s="39">
        <v>46299</v>
      </c>
      <c r="F26" s="39">
        <v>46305</v>
      </c>
      <c r="G26" s="38" t="s">
        <v>84</v>
      </c>
      <c r="H26" s="38" t="s">
        <v>18</v>
      </c>
      <c r="I26" s="38"/>
    </row>
    <row r="27" spans="1:9" ht="40.5" customHeight="1">
      <c r="A27" s="13">
        <v>15</v>
      </c>
      <c r="B27" s="75"/>
      <c r="C27" s="38" t="s">
        <v>85</v>
      </c>
      <c r="D27" s="38" t="s">
        <v>86</v>
      </c>
      <c r="E27" s="39">
        <v>46306</v>
      </c>
      <c r="F27" s="39">
        <v>46312</v>
      </c>
      <c r="G27" s="38" t="s">
        <v>87</v>
      </c>
      <c r="H27" s="38" t="s">
        <v>18</v>
      </c>
      <c r="I27" s="38"/>
    </row>
    <row r="28" spans="1:9" ht="40.5" customHeight="1">
      <c r="A28" s="13">
        <v>16</v>
      </c>
      <c r="B28" s="75"/>
      <c r="C28" s="38" t="s">
        <v>88</v>
      </c>
      <c r="D28" s="38" t="s">
        <v>89</v>
      </c>
      <c r="E28" s="39">
        <v>46313</v>
      </c>
      <c r="F28" s="39">
        <v>46319</v>
      </c>
      <c r="G28" s="38" t="s">
        <v>90</v>
      </c>
      <c r="H28" s="38" t="s">
        <v>18</v>
      </c>
      <c r="I28" s="38"/>
    </row>
    <row r="29" spans="1:9" ht="27" customHeight="1">
      <c r="A29" s="13">
        <v>17</v>
      </c>
      <c r="B29" s="76"/>
      <c r="C29" s="38" t="s">
        <v>91</v>
      </c>
      <c r="D29" s="38" t="s">
        <v>92</v>
      </c>
      <c r="E29" s="39">
        <v>46317</v>
      </c>
      <c r="F29" s="39">
        <v>46323</v>
      </c>
      <c r="G29" s="38" t="s">
        <v>93</v>
      </c>
      <c r="H29" s="38" t="s">
        <v>18</v>
      </c>
      <c r="I29" s="38"/>
    </row>
    <row r="30" spans="1:9" ht="40.5" customHeight="1">
      <c r="A30" s="13">
        <v>18</v>
      </c>
      <c r="B30" s="50" t="s">
        <v>94</v>
      </c>
      <c r="C30" s="38" t="s">
        <v>95</v>
      </c>
      <c r="D30" s="38" t="s">
        <v>96</v>
      </c>
      <c r="E30" s="39">
        <v>46299</v>
      </c>
      <c r="F30" s="39">
        <v>46312</v>
      </c>
      <c r="G30" s="38" t="s">
        <v>97</v>
      </c>
      <c r="H30" s="38" t="s">
        <v>18</v>
      </c>
      <c r="I30" s="38"/>
    </row>
    <row r="31" spans="1:9" ht="27.75" customHeight="1">
      <c r="A31" s="13">
        <v>19</v>
      </c>
      <c r="B31" s="75"/>
      <c r="C31" s="38" t="s">
        <v>98</v>
      </c>
      <c r="D31" s="38" t="s">
        <v>99</v>
      </c>
      <c r="E31" s="39">
        <v>46313</v>
      </c>
      <c r="F31" s="39">
        <v>46323</v>
      </c>
      <c r="G31" s="38" t="s">
        <v>100</v>
      </c>
      <c r="H31" s="38" t="s">
        <v>18</v>
      </c>
      <c r="I31" s="38"/>
    </row>
    <row r="32" spans="1:9" ht="27.75" customHeight="1">
      <c r="A32" s="13">
        <v>20</v>
      </c>
      <c r="B32" s="75"/>
      <c r="C32" s="38" t="s">
        <v>101</v>
      </c>
      <c r="D32" s="38" t="s">
        <v>102</v>
      </c>
      <c r="E32" s="39">
        <v>46324</v>
      </c>
      <c r="F32" s="39">
        <v>46326</v>
      </c>
      <c r="G32" s="38" t="s">
        <v>103</v>
      </c>
      <c r="H32" s="38" t="s">
        <v>18</v>
      </c>
      <c r="I32" s="38"/>
    </row>
    <row r="33" spans="1:9" ht="40.5" customHeight="1">
      <c r="A33" s="13">
        <v>21</v>
      </c>
      <c r="B33" s="76"/>
      <c r="C33" s="38" t="s">
        <v>104</v>
      </c>
      <c r="D33" s="38" t="s">
        <v>105</v>
      </c>
      <c r="E33" s="39">
        <v>46327</v>
      </c>
      <c r="F33" s="39">
        <v>46330</v>
      </c>
      <c r="G33" s="38" t="s">
        <v>106</v>
      </c>
      <c r="H33" s="38" t="s">
        <v>18</v>
      </c>
      <c r="I33" s="38"/>
    </row>
    <row r="34" spans="1:9" ht="55.5" customHeight="1">
      <c r="A34" s="14">
        <v>22</v>
      </c>
      <c r="B34" s="40" t="s">
        <v>94</v>
      </c>
      <c r="C34" s="41" t="s">
        <v>107</v>
      </c>
      <c r="D34" s="41" t="s">
        <v>108</v>
      </c>
      <c r="E34" s="42">
        <v>46331</v>
      </c>
      <c r="F34" s="42">
        <v>46332</v>
      </c>
      <c r="G34" s="41" t="s">
        <v>109</v>
      </c>
      <c r="H34" s="41" t="s">
        <v>18</v>
      </c>
      <c r="I34" s="41" t="s">
        <v>110</v>
      </c>
    </row>
    <row r="35" spans="1:9" ht="40.5" customHeight="1">
      <c r="A35" s="13">
        <v>23</v>
      </c>
      <c r="B35" s="49" t="s">
        <v>111</v>
      </c>
      <c r="C35" s="38" t="s">
        <v>112</v>
      </c>
      <c r="D35" s="38" t="s">
        <v>113</v>
      </c>
      <c r="E35" s="39">
        <v>46333</v>
      </c>
      <c r="F35" s="39">
        <v>46339</v>
      </c>
      <c r="G35" s="38" t="s">
        <v>114</v>
      </c>
      <c r="H35" s="38" t="s">
        <v>18</v>
      </c>
      <c r="I35" s="38"/>
    </row>
    <row r="36" spans="1:9" ht="27.75" customHeight="1">
      <c r="A36" s="13">
        <v>24</v>
      </c>
      <c r="B36" s="75"/>
      <c r="C36" s="38" t="s">
        <v>115</v>
      </c>
      <c r="D36" s="38" t="s">
        <v>116</v>
      </c>
      <c r="E36" s="39">
        <v>46333</v>
      </c>
      <c r="F36" s="39">
        <v>46340</v>
      </c>
      <c r="G36" s="38" t="s">
        <v>117</v>
      </c>
      <c r="H36" s="38" t="s">
        <v>18</v>
      </c>
      <c r="I36" s="38"/>
    </row>
    <row r="37" spans="1:9" ht="40.5" customHeight="1">
      <c r="A37" s="13">
        <v>25</v>
      </c>
      <c r="B37" s="75"/>
      <c r="C37" s="38" t="s">
        <v>118</v>
      </c>
      <c r="D37" s="38" t="s">
        <v>119</v>
      </c>
      <c r="E37" s="39">
        <v>46340</v>
      </c>
      <c r="F37" s="39">
        <v>46343</v>
      </c>
      <c r="G37" s="38" t="s">
        <v>120</v>
      </c>
      <c r="H37" s="38" t="s">
        <v>18</v>
      </c>
      <c r="I37" s="38"/>
    </row>
    <row r="38" spans="1:9" ht="40.5" customHeight="1">
      <c r="A38" s="13">
        <v>26</v>
      </c>
      <c r="B38" s="76"/>
      <c r="C38" s="38" t="s">
        <v>121</v>
      </c>
      <c r="D38" s="38" t="s">
        <v>122</v>
      </c>
      <c r="E38" s="39">
        <v>46344</v>
      </c>
      <c r="F38" s="39">
        <v>46346</v>
      </c>
      <c r="G38" s="38" t="s">
        <v>123</v>
      </c>
      <c r="H38" s="38" t="s">
        <v>18</v>
      </c>
      <c r="I38" s="38"/>
    </row>
    <row r="39" spans="1:9" ht="27.75" customHeight="1">
      <c r="A39" s="15">
        <v>27</v>
      </c>
      <c r="B39" s="43" t="s">
        <v>111</v>
      </c>
      <c r="C39" s="44" t="s">
        <v>124</v>
      </c>
      <c r="D39" s="44" t="s">
        <v>125</v>
      </c>
      <c r="E39" s="45">
        <v>46347</v>
      </c>
      <c r="F39" s="45">
        <v>46347</v>
      </c>
      <c r="G39" s="44" t="s">
        <v>126</v>
      </c>
      <c r="H39" s="44" t="s">
        <v>18</v>
      </c>
      <c r="I39" s="44" t="s">
        <v>127</v>
      </c>
    </row>
  </sheetData>
  <mergeCells count="20">
    <mergeCell ref="A6:B6"/>
    <mergeCell ref="C4:D4"/>
    <mergeCell ref="E4:F4"/>
    <mergeCell ref="C3:F3"/>
    <mergeCell ref="A1:I1"/>
    <mergeCell ref="B35:B38"/>
    <mergeCell ref="B30:B33"/>
    <mergeCell ref="A4:B4"/>
    <mergeCell ref="B21:B25"/>
    <mergeCell ref="B26:B29"/>
    <mergeCell ref="D5:E5"/>
    <mergeCell ref="B17:B20"/>
    <mergeCell ref="G4:I4"/>
    <mergeCell ref="C6:I6"/>
    <mergeCell ref="A3:B3"/>
    <mergeCell ref="G3:H3"/>
    <mergeCell ref="B13:B16"/>
    <mergeCell ref="A5:B5"/>
    <mergeCell ref="G5:H5"/>
    <mergeCell ref="A7:I7"/>
  </mergeCells>
  <conditionalFormatting sqref="H13:H39">
    <cfRule type="expression" dxfId="2" priority="1">
      <formula>H13="Hoàn thành"</formula>
    </cfRule>
    <cfRule type="expression" dxfId="1" priority="2">
      <formula>H13="Đang thực hiện"</formula>
    </cfRule>
    <cfRule type="expression" dxfId="0" priority="3">
      <formula>H13="Tạm hoãn / Bị chặn"</formula>
    </cfRule>
  </conditionalFormatting>
  <dataValidations count="1">
    <dataValidation type="list" sqref="H13:H39" xr:uid="{00000000-0002-0000-0000-000000000000}">
      <formula1>"Chưa bắt đầu,Đang thực hiện,Hoàn thành,Tạm hoãn / Bị chặn"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selection sqref="A1:F1"/>
    </sheetView>
  </sheetViews>
  <sheetFormatPr defaultRowHeight="14.25"/>
  <cols>
    <col min="1" max="1" width="6" customWidth="1"/>
    <col min="2" max="2" width="24" customWidth="1"/>
    <col min="3" max="3" width="45" customWidth="1"/>
    <col min="4" max="5" width="42" customWidth="1"/>
    <col min="6" max="6" width="36" customWidth="1"/>
  </cols>
  <sheetData>
    <row r="1" spans="1:6" ht="20.65" customHeight="1">
      <c r="A1" s="67" t="s">
        <v>128</v>
      </c>
      <c r="B1" s="70"/>
      <c r="C1" s="70"/>
      <c r="D1" s="70"/>
      <c r="E1" s="70"/>
      <c r="F1" s="70"/>
    </row>
    <row r="3" spans="1:6" ht="13.9" customHeight="1">
      <c r="A3" s="16" t="s">
        <v>129</v>
      </c>
      <c r="B3" s="17" t="s">
        <v>130</v>
      </c>
      <c r="C3" s="17" t="s">
        <v>131</v>
      </c>
      <c r="D3" s="17" t="s">
        <v>132</v>
      </c>
      <c r="E3" s="17" t="s">
        <v>133</v>
      </c>
      <c r="F3" s="18" t="s">
        <v>134</v>
      </c>
    </row>
    <row r="4" spans="1:6" ht="27" customHeight="1">
      <c r="A4" s="11" t="s">
        <v>135</v>
      </c>
      <c r="B4" s="6" t="s">
        <v>136</v>
      </c>
      <c r="C4" s="6" t="s">
        <v>137</v>
      </c>
      <c r="D4" s="6" t="s">
        <v>138</v>
      </c>
      <c r="E4" s="6" t="s">
        <v>139</v>
      </c>
      <c r="F4" s="12" t="s">
        <v>140</v>
      </c>
    </row>
    <row r="5" spans="1:6" ht="27" customHeight="1">
      <c r="A5" s="11" t="s">
        <v>141</v>
      </c>
      <c r="B5" s="6" t="s">
        <v>142</v>
      </c>
      <c r="C5" s="6" t="s">
        <v>143</v>
      </c>
      <c r="D5" s="6" t="s">
        <v>144</v>
      </c>
      <c r="E5" s="6" t="s">
        <v>145</v>
      </c>
      <c r="F5" s="12" t="s">
        <v>146</v>
      </c>
    </row>
    <row r="6" spans="1:6" ht="27" customHeight="1">
      <c r="A6" s="11" t="s">
        <v>147</v>
      </c>
      <c r="B6" s="6" t="s">
        <v>148</v>
      </c>
      <c r="C6" s="6" t="s">
        <v>149</v>
      </c>
      <c r="D6" s="6" t="s">
        <v>150</v>
      </c>
      <c r="E6" s="6" t="s">
        <v>151</v>
      </c>
      <c r="F6" s="12" t="s">
        <v>152</v>
      </c>
    </row>
    <row r="7" spans="1:6" ht="27" customHeight="1">
      <c r="A7" s="11" t="s">
        <v>153</v>
      </c>
      <c r="B7" s="6" t="s">
        <v>154</v>
      </c>
      <c r="C7" s="6" t="s">
        <v>155</v>
      </c>
      <c r="D7" s="6" t="s">
        <v>156</v>
      </c>
      <c r="E7" s="6" t="s">
        <v>157</v>
      </c>
      <c r="F7" s="12" t="s">
        <v>158</v>
      </c>
    </row>
    <row r="8" spans="1:6" ht="27" customHeight="1">
      <c r="A8" s="11" t="s">
        <v>159</v>
      </c>
      <c r="B8" s="6" t="s">
        <v>160</v>
      </c>
      <c r="C8" s="6" t="s">
        <v>161</v>
      </c>
      <c r="D8" s="6" t="s">
        <v>162</v>
      </c>
      <c r="E8" s="6" t="s">
        <v>163</v>
      </c>
      <c r="F8" s="12" t="s">
        <v>164</v>
      </c>
    </row>
    <row r="9" spans="1:6" ht="27" customHeight="1">
      <c r="A9" s="11" t="s">
        <v>165</v>
      </c>
      <c r="B9" s="6" t="s">
        <v>27</v>
      </c>
      <c r="C9" s="6" t="s">
        <v>166</v>
      </c>
      <c r="D9" s="6" t="s">
        <v>167</v>
      </c>
      <c r="E9" s="6" t="s">
        <v>168</v>
      </c>
      <c r="F9" s="12" t="s">
        <v>169</v>
      </c>
    </row>
    <row r="10" spans="1:6" ht="27" customHeight="1">
      <c r="A10" s="11" t="s">
        <v>170</v>
      </c>
      <c r="B10" s="6" t="s">
        <v>171</v>
      </c>
      <c r="C10" s="6" t="s">
        <v>172</v>
      </c>
      <c r="D10" s="6" t="s">
        <v>173</v>
      </c>
      <c r="E10" s="6" t="s">
        <v>174</v>
      </c>
      <c r="F10" s="12" t="s">
        <v>175</v>
      </c>
    </row>
    <row r="11" spans="1:6" ht="27" customHeight="1">
      <c r="A11" s="19" t="s">
        <v>176</v>
      </c>
      <c r="B11" s="20" t="s">
        <v>177</v>
      </c>
      <c r="C11" s="20" t="s">
        <v>178</v>
      </c>
      <c r="D11" s="20" t="s">
        <v>179</v>
      </c>
      <c r="E11" s="20" t="s">
        <v>180</v>
      </c>
      <c r="F11" s="21" t="s">
        <v>181</v>
      </c>
    </row>
    <row r="13" spans="1:6" ht="13.9" customHeight="1">
      <c r="A13" s="66" t="s">
        <v>182</v>
      </c>
      <c r="B13" s="70"/>
      <c r="C13" s="70"/>
      <c r="D13" s="70"/>
      <c r="E13" s="70"/>
      <c r="F13" s="70"/>
    </row>
    <row r="14" spans="1:6" ht="27" customHeight="1">
      <c r="A14" s="22" t="s">
        <v>183</v>
      </c>
      <c r="B14" s="22" t="s">
        <v>184</v>
      </c>
      <c r="C14" s="22" t="s">
        <v>185</v>
      </c>
      <c r="D14" s="22" t="s">
        <v>186</v>
      </c>
      <c r="E14" s="22"/>
      <c r="F14" s="22"/>
    </row>
    <row r="15" spans="1:6" ht="54" customHeight="1">
      <c r="A15" s="22" t="s">
        <v>11</v>
      </c>
      <c r="B15" s="22" t="s">
        <v>187</v>
      </c>
      <c r="C15" s="22" t="s">
        <v>188</v>
      </c>
      <c r="D15" s="22" t="s">
        <v>189</v>
      </c>
      <c r="E15" s="22"/>
      <c r="F15" s="22"/>
    </row>
  </sheetData>
  <mergeCells count="2">
    <mergeCell ref="A13:F13"/>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6"/>
  <sheetViews>
    <sheetView workbookViewId="0">
      <selection sqref="A1:T1"/>
    </sheetView>
  </sheetViews>
  <sheetFormatPr defaultRowHeight="14.25"/>
  <cols>
    <col min="1" max="1" width="6" customWidth="1"/>
    <col min="2" max="2" width="26" customWidth="1"/>
    <col min="3" max="3" width="36" customWidth="1"/>
    <col min="4" max="4" width="18" customWidth="1"/>
    <col min="5" max="20" width="10" customWidth="1"/>
  </cols>
  <sheetData>
    <row r="1" spans="1:20" ht="17.649999999999999" customHeight="1">
      <c r="A1" s="68" t="s">
        <v>190</v>
      </c>
      <c r="B1" s="70"/>
      <c r="C1" s="70"/>
      <c r="D1" s="70"/>
      <c r="E1" s="70"/>
      <c r="F1" s="70"/>
      <c r="G1" s="70"/>
      <c r="H1" s="70"/>
      <c r="I1" s="70"/>
      <c r="J1" s="70"/>
      <c r="K1" s="70"/>
      <c r="L1" s="70"/>
      <c r="M1" s="70"/>
      <c r="N1" s="70"/>
      <c r="O1" s="70"/>
      <c r="P1" s="70"/>
      <c r="Q1" s="70"/>
      <c r="R1" s="70"/>
      <c r="S1" s="70"/>
      <c r="T1" s="70"/>
    </row>
    <row r="3" spans="1:20" ht="13.9" customHeight="1">
      <c r="A3" s="24" t="s">
        <v>20</v>
      </c>
      <c r="B3" s="25" t="s">
        <v>21</v>
      </c>
      <c r="C3" s="25" t="s">
        <v>191</v>
      </c>
      <c r="D3" s="25" t="s">
        <v>27</v>
      </c>
      <c r="E3" s="26">
        <v>46242</v>
      </c>
      <c r="F3" s="26">
        <v>46249</v>
      </c>
      <c r="G3" s="26">
        <v>46256</v>
      </c>
      <c r="H3" s="26">
        <v>46263</v>
      </c>
      <c r="I3" s="26">
        <v>46270</v>
      </c>
      <c r="J3" s="26">
        <v>46277</v>
      </c>
      <c r="K3" s="26">
        <v>46284</v>
      </c>
      <c r="L3" s="26">
        <v>46291</v>
      </c>
      <c r="M3" s="26">
        <v>46298</v>
      </c>
      <c r="N3" s="26">
        <v>46305</v>
      </c>
      <c r="O3" s="26">
        <v>46312</v>
      </c>
      <c r="P3" s="26">
        <v>46319</v>
      </c>
      <c r="Q3" s="26">
        <v>46326</v>
      </c>
      <c r="R3" s="26">
        <v>46333</v>
      </c>
      <c r="S3" s="26">
        <v>46340</v>
      </c>
      <c r="T3" s="27">
        <v>46347</v>
      </c>
    </row>
    <row r="4" spans="1:20" ht="27" customHeight="1">
      <c r="A4" s="28">
        <f>'Timeline tổng quan'!A13</f>
        <v>1</v>
      </c>
      <c r="B4" s="2" t="str">
        <f>'Timeline tổng quan'!B13</f>
        <v>I. ĐỊNH HƯỚNG &amp; PHƯƠNG PHÁP LUẬN</v>
      </c>
      <c r="C4" s="2" t="str">
        <f>'Timeline tổng quan'!C13</f>
        <v>Xác định bài toán, mục tiêu và phạm vi</v>
      </c>
      <c r="D4" s="2" t="str">
        <f>'Timeline tổng quan'!H13</f>
        <v>Hoàn thành</v>
      </c>
      <c r="E4" s="23" t="str">
        <f>IF(AND(E$3&lt;='Timeline tổng quan'!$F$13,E$3+6&gt;='Timeline tổng quan'!$E$13),"■","")</f>
        <v>■</v>
      </c>
      <c r="F4" s="23" t="str">
        <f>IF(AND(F$3&lt;='Timeline tổng quan'!$F$13,F$3+6&gt;='Timeline tổng quan'!$E$13),"■","")</f>
        <v/>
      </c>
      <c r="G4" s="23" t="str">
        <f>IF(AND(G$3&lt;='Timeline tổng quan'!$F$13,G$3+6&gt;='Timeline tổng quan'!$E$13),"■","")</f>
        <v/>
      </c>
      <c r="H4" s="23" t="str">
        <f>IF(AND(H$3&lt;='Timeline tổng quan'!$F$13,H$3+6&gt;='Timeline tổng quan'!$E$13),"■","")</f>
        <v/>
      </c>
      <c r="I4" s="23" t="str">
        <f>IF(AND(I$3&lt;='Timeline tổng quan'!$F$13,I$3+6&gt;='Timeline tổng quan'!$E$13),"■","")</f>
        <v/>
      </c>
      <c r="J4" s="23" t="str">
        <f>IF(AND(J$3&lt;='Timeline tổng quan'!$F$13,J$3+6&gt;='Timeline tổng quan'!$E$13),"■","")</f>
        <v/>
      </c>
      <c r="K4" s="23" t="str">
        <f>IF(AND(K$3&lt;='Timeline tổng quan'!$F$13,K$3+6&gt;='Timeline tổng quan'!$E$13),"■","")</f>
        <v/>
      </c>
      <c r="L4" s="23" t="str">
        <f>IF(AND(L$3&lt;='Timeline tổng quan'!$F$13,L$3+6&gt;='Timeline tổng quan'!$E$13),"■","")</f>
        <v/>
      </c>
      <c r="M4" s="23" t="str">
        <f>IF(AND(M$3&lt;='Timeline tổng quan'!$F$13,M$3+6&gt;='Timeline tổng quan'!$E$13),"■","")</f>
        <v/>
      </c>
      <c r="N4" s="23" t="str">
        <f>IF(AND(N$3&lt;='Timeline tổng quan'!$F$13,N$3+6&gt;='Timeline tổng quan'!$E$13),"■","")</f>
        <v/>
      </c>
      <c r="O4" s="23" t="str">
        <f>IF(AND(O$3&lt;='Timeline tổng quan'!$F$13,O$3+6&gt;='Timeline tổng quan'!$E$13),"■","")</f>
        <v/>
      </c>
      <c r="P4" s="23" t="str">
        <f>IF(AND(P$3&lt;='Timeline tổng quan'!$F$13,P$3+6&gt;='Timeline tổng quan'!$E$13),"■","")</f>
        <v/>
      </c>
      <c r="Q4" s="23" t="str">
        <f>IF(AND(Q$3&lt;='Timeline tổng quan'!$F$13,Q$3+6&gt;='Timeline tổng quan'!$E$13),"■","")</f>
        <v/>
      </c>
      <c r="R4" s="23" t="str">
        <f>IF(AND(R$3&lt;='Timeline tổng quan'!$F$13,R$3+6&gt;='Timeline tổng quan'!$E$13),"■","")</f>
        <v/>
      </c>
      <c r="S4" s="23" t="str">
        <f>IF(AND(S$3&lt;='Timeline tổng quan'!$F$13,S$3+6&gt;='Timeline tổng quan'!$E$13),"■","")</f>
        <v/>
      </c>
      <c r="T4" s="29" t="str">
        <f>IF(AND(T$3&lt;='Timeline tổng quan'!$F$13,T$3+6&gt;='Timeline tổng quan'!$E$13),"■","")</f>
        <v/>
      </c>
    </row>
    <row r="5" spans="1:20" ht="27" customHeight="1">
      <c r="A5" s="28">
        <f>'Timeline tổng quan'!A14</f>
        <v>2</v>
      </c>
      <c r="B5" s="2">
        <f>'Timeline tổng quan'!B14</f>
        <v>0</v>
      </c>
      <c r="C5" s="2" t="str">
        <f>'Timeline tổng quan'!C14</f>
        <v>Khảo sát tài liệu, sản phẩm hoặc giải pháp liên quan</v>
      </c>
      <c r="D5" s="2" t="str">
        <f>'Timeline tổng quan'!H14</f>
        <v>Hoàn thành</v>
      </c>
      <c r="E5" s="23" t="str">
        <f>IF(AND(E$3&lt;='Timeline tổng quan'!$F$14,E$3+6&gt;='Timeline tổng quan'!$E$14),"■","")</f>
        <v>■</v>
      </c>
      <c r="F5" s="23" t="str">
        <f>IF(AND(F$3&lt;='Timeline tổng quan'!$F$14,F$3+6&gt;='Timeline tổng quan'!$E$14),"■","")</f>
        <v/>
      </c>
      <c r="G5" s="23" t="str">
        <f>IF(AND(G$3&lt;='Timeline tổng quan'!$F$14,G$3+6&gt;='Timeline tổng quan'!$E$14),"■","")</f>
        <v/>
      </c>
      <c r="H5" s="23" t="str">
        <f>IF(AND(H$3&lt;='Timeline tổng quan'!$F$14,H$3+6&gt;='Timeline tổng quan'!$E$14),"■","")</f>
        <v/>
      </c>
      <c r="I5" s="23" t="str">
        <f>IF(AND(I$3&lt;='Timeline tổng quan'!$F$14,I$3+6&gt;='Timeline tổng quan'!$E$14),"■","")</f>
        <v/>
      </c>
      <c r="J5" s="23" t="str">
        <f>IF(AND(J$3&lt;='Timeline tổng quan'!$F$14,J$3+6&gt;='Timeline tổng quan'!$E$14),"■","")</f>
        <v/>
      </c>
      <c r="K5" s="23" t="str">
        <f>IF(AND(K$3&lt;='Timeline tổng quan'!$F$14,K$3+6&gt;='Timeline tổng quan'!$E$14),"■","")</f>
        <v/>
      </c>
      <c r="L5" s="23" t="str">
        <f>IF(AND(L$3&lt;='Timeline tổng quan'!$F$14,L$3+6&gt;='Timeline tổng quan'!$E$14),"■","")</f>
        <v/>
      </c>
      <c r="M5" s="23" t="str">
        <f>IF(AND(M$3&lt;='Timeline tổng quan'!$F$14,M$3+6&gt;='Timeline tổng quan'!$E$14),"■","")</f>
        <v/>
      </c>
      <c r="N5" s="23" t="str">
        <f>IF(AND(N$3&lt;='Timeline tổng quan'!$F$14,N$3+6&gt;='Timeline tổng quan'!$E$14),"■","")</f>
        <v/>
      </c>
      <c r="O5" s="23" t="str">
        <f>IF(AND(O$3&lt;='Timeline tổng quan'!$F$14,O$3+6&gt;='Timeline tổng quan'!$E$14),"■","")</f>
        <v/>
      </c>
      <c r="P5" s="23" t="str">
        <f>IF(AND(P$3&lt;='Timeline tổng quan'!$F$14,P$3+6&gt;='Timeline tổng quan'!$E$14),"■","")</f>
        <v/>
      </c>
      <c r="Q5" s="23" t="str">
        <f>IF(AND(Q$3&lt;='Timeline tổng quan'!$F$14,Q$3+6&gt;='Timeline tổng quan'!$E$14),"■","")</f>
        <v/>
      </c>
      <c r="R5" s="23" t="str">
        <f>IF(AND(R$3&lt;='Timeline tổng quan'!$F$14,R$3+6&gt;='Timeline tổng quan'!$E$14),"■","")</f>
        <v/>
      </c>
      <c r="S5" s="23" t="str">
        <f>IF(AND(S$3&lt;='Timeline tổng quan'!$F$14,S$3+6&gt;='Timeline tổng quan'!$E$14),"■","")</f>
        <v/>
      </c>
      <c r="T5" s="29" t="str">
        <f>IF(AND(T$3&lt;='Timeline tổng quan'!$F$14,T$3+6&gt;='Timeline tổng quan'!$E$14),"■","")</f>
        <v/>
      </c>
    </row>
    <row r="6" spans="1:20" ht="27" customHeight="1">
      <c r="A6" s="28">
        <f>'Timeline tổng quan'!A15</f>
        <v>3</v>
      </c>
      <c r="B6" s="2">
        <f>'Timeline tổng quan'!B15</f>
        <v>0</v>
      </c>
      <c r="C6" s="2" t="str">
        <f>'Timeline tổng quan'!C15</f>
        <v>Chọn hướng tiếp cận / phương pháp thực hiện</v>
      </c>
      <c r="D6" s="2" t="str">
        <f>'Timeline tổng quan'!H15</f>
        <v>Hoàn thành</v>
      </c>
      <c r="E6" s="23" t="str">
        <f>IF(AND(E$3&lt;='Timeline tổng quan'!$F$15,E$3+6&gt;='Timeline tổng quan'!$E$15),"■","")</f>
        <v>■</v>
      </c>
      <c r="F6" s="23" t="str">
        <f>IF(AND(F$3&lt;='Timeline tổng quan'!$F$15,F$3+6&gt;='Timeline tổng quan'!$E$15),"■","")</f>
        <v/>
      </c>
      <c r="G6" s="23" t="str">
        <f>IF(AND(G$3&lt;='Timeline tổng quan'!$F$15,G$3+6&gt;='Timeline tổng quan'!$E$15),"■","")</f>
        <v/>
      </c>
      <c r="H6" s="23" t="str">
        <f>IF(AND(H$3&lt;='Timeline tổng quan'!$F$15,H$3+6&gt;='Timeline tổng quan'!$E$15),"■","")</f>
        <v/>
      </c>
      <c r="I6" s="23" t="str">
        <f>IF(AND(I$3&lt;='Timeline tổng quan'!$F$15,I$3+6&gt;='Timeline tổng quan'!$E$15),"■","")</f>
        <v/>
      </c>
      <c r="J6" s="23" t="str">
        <f>IF(AND(J$3&lt;='Timeline tổng quan'!$F$15,J$3+6&gt;='Timeline tổng quan'!$E$15),"■","")</f>
        <v/>
      </c>
      <c r="K6" s="23" t="str">
        <f>IF(AND(K$3&lt;='Timeline tổng quan'!$F$15,K$3+6&gt;='Timeline tổng quan'!$E$15),"■","")</f>
        <v/>
      </c>
      <c r="L6" s="23" t="str">
        <f>IF(AND(L$3&lt;='Timeline tổng quan'!$F$15,L$3+6&gt;='Timeline tổng quan'!$E$15),"■","")</f>
        <v/>
      </c>
      <c r="M6" s="23" t="str">
        <f>IF(AND(M$3&lt;='Timeline tổng quan'!$F$15,M$3+6&gt;='Timeline tổng quan'!$E$15),"■","")</f>
        <v/>
      </c>
      <c r="N6" s="23" t="str">
        <f>IF(AND(N$3&lt;='Timeline tổng quan'!$F$15,N$3+6&gt;='Timeline tổng quan'!$E$15),"■","")</f>
        <v/>
      </c>
      <c r="O6" s="23" t="str">
        <f>IF(AND(O$3&lt;='Timeline tổng quan'!$F$15,O$3+6&gt;='Timeline tổng quan'!$E$15),"■","")</f>
        <v/>
      </c>
      <c r="P6" s="23" t="str">
        <f>IF(AND(P$3&lt;='Timeline tổng quan'!$F$15,P$3+6&gt;='Timeline tổng quan'!$E$15),"■","")</f>
        <v/>
      </c>
      <c r="Q6" s="23" t="str">
        <f>IF(AND(Q$3&lt;='Timeline tổng quan'!$F$15,Q$3+6&gt;='Timeline tổng quan'!$E$15),"■","")</f>
        <v/>
      </c>
      <c r="R6" s="23" t="str">
        <f>IF(AND(R$3&lt;='Timeline tổng quan'!$F$15,R$3+6&gt;='Timeline tổng quan'!$E$15),"■","")</f>
        <v/>
      </c>
      <c r="S6" s="23" t="str">
        <f>IF(AND(S$3&lt;='Timeline tổng quan'!$F$15,S$3+6&gt;='Timeline tổng quan'!$E$15),"■","")</f>
        <v/>
      </c>
      <c r="T6" s="29" t="str">
        <f>IF(AND(T$3&lt;='Timeline tổng quan'!$F$15,T$3+6&gt;='Timeline tổng quan'!$E$15),"■","")</f>
        <v/>
      </c>
    </row>
    <row r="7" spans="1:20" ht="27" customHeight="1">
      <c r="A7" s="28">
        <f>'Timeline tổng quan'!A16</f>
        <v>4</v>
      </c>
      <c r="B7" s="2">
        <f>'Timeline tổng quan'!B16</f>
        <v>0</v>
      </c>
      <c r="C7" s="2" t="str">
        <f>'Timeline tổng quan'!C16</f>
        <v>Lập kế hoạch công việc, phân công và rủi ro</v>
      </c>
      <c r="D7" s="2" t="str">
        <f>'Timeline tổng quan'!H16</f>
        <v>Hoàn thành</v>
      </c>
      <c r="E7" s="23" t="str">
        <f>IF(AND(E$3&lt;='Timeline tổng quan'!$F$16,E$3+6&gt;='Timeline tổng quan'!$E$16),"■","")</f>
        <v>■</v>
      </c>
      <c r="F7" s="23" t="str">
        <f>IF(AND(F$3&lt;='Timeline tổng quan'!$F$16,F$3+6&gt;='Timeline tổng quan'!$E$16),"■","")</f>
        <v/>
      </c>
      <c r="G7" s="23" t="str">
        <f>IF(AND(G$3&lt;='Timeline tổng quan'!$F$16,G$3+6&gt;='Timeline tổng quan'!$E$16),"■","")</f>
        <v/>
      </c>
      <c r="H7" s="23" t="str">
        <f>IF(AND(H$3&lt;='Timeline tổng quan'!$F$16,H$3+6&gt;='Timeline tổng quan'!$E$16),"■","")</f>
        <v/>
      </c>
      <c r="I7" s="23" t="str">
        <f>IF(AND(I$3&lt;='Timeline tổng quan'!$F$16,I$3+6&gt;='Timeline tổng quan'!$E$16),"■","")</f>
        <v/>
      </c>
      <c r="J7" s="23" t="str">
        <f>IF(AND(J$3&lt;='Timeline tổng quan'!$F$16,J$3+6&gt;='Timeline tổng quan'!$E$16),"■","")</f>
        <v/>
      </c>
      <c r="K7" s="23" t="str">
        <f>IF(AND(K$3&lt;='Timeline tổng quan'!$F$16,K$3+6&gt;='Timeline tổng quan'!$E$16),"■","")</f>
        <v/>
      </c>
      <c r="L7" s="23" t="str">
        <f>IF(AND(L$3&lt;='Timeline tổng quan'!$F$16,L$3+6&gt;='Timeline tổng quan'!$E$16),"■","")</f>
        <v/>
      </c>
      <c r="M7" s="23" t="str">
        <f>IF(AND(M$3&lt;='Timeline tổng quan'!$F$16,M$3+6&gt;='Timeline tổng quan'!$E$16),"■","")</f>
        <v/>
      </c>
      <c r="N7" s="23" t="str">
        <f>IF(AND(N$3&lt;='Timeline tổng quan'!$F$16,N$3+6&gt;='Timeline tổng quan'!$E$16),"■","")</f>
        <v/>
      </c>
      <c r="O7" s="23" t="str">
        <f>IF(AND(O$3&lt;='Timeline tổng quan'!$F$16,O$3+6&gt;='Timeline tổng quan'!$E$16),"■","")</f>
        <v/>
      </c>
      <c r="P7" s="23" t="str">
        <f>IF(AND(P$3&lt;='Timeline tổng quan'!$F$16,P$3+6&gt;='Timeline tổng quan'!$E$16),"■","")</f>
        <v/>
      </c>
      <c r="Q7" s="23" t="str">
        <f>IF(AND(Q$3&lt;='Timeline tổng quan'!$F$16,Q$3+6&gt;='Timeline tổng quan'!$E$16),"■","")</f>
        <v/>
      </c>
      <c r="R7" s="23" t="str">
        <f>IF(AND(R$3&lt;='Timeline tổng quan'!$F$16,R$3+6&gt;='Timeline tổng quan'!$E$16),"■","")</f>
        <v/>
      </c>
      <c r="S7" s="23" t="str">
        <f>IF(AND(S$3&lt;='Timeline tổng quan'!$F$16,S$3+6&gt;='Timeline tổng quan'!$E$16),"■","")</f>
        <v/>
      </c>
      <c r="T7" s="29" t="str">
        <f>IF(AND(T$3&lt;='Timeline tổng quan'!$F$16,T$3+6&gt;='Timeline tổng quan'!$E$16),"■","")</f>
        <v/>
      </c>
    </row>
    <row r="8" spans="1:20" ht="27" customHeight="1">
      <c r="A8" s="28">
        <f>'Timeline tổng quan'!A17</f>
        <v>5</v>
      </c>
      <c r="B8" s="2" t="str">
        <f>'Timeline tổng quan'!B17</f>
        <v>II. THIẾT KẾ &amp; CHUẨN BỊ</v>
      </c>
      <c r="C8" s="2" t="str">
        <f>'Timeline tổng quan'!C17</f>
        <v>Thiết kế giải pháp / hệ thống / quy trình chi tiết</v>
      </c>
      <c r="D8" s="2" t="str">
        <f>'Timeline tổng quan'!H17</f>
        <v>Hoàn thành</v>
      </c>
      <c r="E8" s="23" t="str">
        <f>IF(AND(E$3&lt;='Timeline tổng quan'!$F$17,E$3+6&gt;='Timeline tổng quan'!$E$17),"■","")</f>
        <v>■</v>
      </c>
      <c r="F8" s="23" t="str">
        <f>IF(AND(F$3&lt;='Timeline tổng quan'!$F$17,F$3+6&gt;='Timeline tổng quan'!$E$17),"■","")</f>
        <v/>
      </c>
      <c r="G8" s="23" t="str">
        <f>IF(AND(G$3&lt;='Timeline tổng quan'!$F$17,G$3+6&gt;='Timeline tổng quan'!$E$17),"■","")</f>
        <v/>
      </c>
      <c r="H8" s="23" t="str">
        <f>IF(AND(H$3&lt;='Timeline tổng quan'!$F$17,H$3+6&gt;='Timeline tổng quan'!$E$17),"■","")</f>
        <v/>
      </c>
      <c r="I8" s="23" t="str">
        <f>IF(AND(I$3&lt;='Timeline tổng quan'!$F$17,I$3+6&gt;='Timeline tổng quan'!$E$17),"■","")</f>
        <v/>
      </c>
      <c r="J8" s="23" t="str">
        <f>IF(AND(J$3&lt;='Timeline tổng quan'!$F$17,J$3+6&gt;='Timeline tổng quan'!$E$17),"■","")</f>
        <v/>
      </c>
      <c r="K8" s="23" t="str">
        <f>IF(AND(K$3&lt;='Timeline tổng quan'!$F$17,K$3+6&gt;='Timeline tổng quan'!$E$17),"■","")</f>
        <v/>
      </c>
      <c r="L8" s="23" t="str">
        <f>IF(AND(L$3&lt;='Timeline tổng quan'!$F$17,L$3+6&gt;='Timeline tổng quan'!$E$17),"■","")</f>
        <v/>
      </c>
      <c r="M8" s="23" t="str">
        <f>IF(AND(M$3&lt;='Timeline tổng quan'!$F$17,M$3+6&gt;='Timeline tổng quan'!$E$17),"■","")</f>
        <v/>
      </c>
      <c r="N8" s="23" t="str">
        <f>IF(AND(N$3&lt;='Timeline tổng quan'!$F$17,N$3+6&gt;='Timeline tổng quan'!$E$17),"■","")</f>
        <v/>
      </c>
      <c r="O8" s="23" t="str">
        <f>IF(AND(O$3&lt;='Timeline tổng quan'!$F$17,O$3+6&gt;='Timeline tổng quan'!$E$17),"■","")</f>
        <v/>
      </c>
      <c r="P8" s="23" t="str">
        <f>IF(AND(P$3&lt;='Timeline tổng quan'!$F$17,P$3+6&gt;='Timeline tổng quan'!$E$17),"■","")</f>
        <v/>
      </c>
      <c r="Q8" s="23" t="str">
        <f>IF(AND(Q$3&lt;='Timeline tổng quan'!$F$17,Q$3+6&gt;='Timeline tổng quan'!$E$17),"■","")</f>
        <v/>
      </c>
      <c r="R8" s="23" t="str">
        <f>IF(AND(R$3&lt;='Timeline tổng quan'!$F$17,R$3+6&gt;='Timeline tổng quan'!$E$17),"■","")</f>
        <v/>
      </c>
      <c r="S8" s="23" t="str">
        <f>IF(AND(S$3&lt;='Timeline tổng quan'!$F$17,S$3+6&gt;='Timeline tổng quan'!$E$17),"■","")</f>
        <v/>
      </c>
      <c r="T8" s="29" t="str">
        <f>IF(AND(T$3&lt;='Timeline tổng quan'!$F$17,T$3+6&gt;='Timeline tổng quan'!$E$17),"■","")</f>
        <v/>
      </c>
    </row>
    <row r="9" spans="1:20" ht="13.9" customHeight="1">
      <c r="A9" s="28">
        <f>'Timeline tổng quan'!A18</f>
        <v>6</v>
      </c>
      <c r="B9" s="2">
        <f>'Timeline tổng quan'!B18</f>
        <v>0</v>
      </c>
      <c r="C9" s="2" t="str">
        <f>'Timeline tổng quan'!C18</f>
        <v>Chuẩn bị môi trường, dữ liệu và công cụ</v>
      </c>
      <c r="D9" s="2" t="str">
        <f>'Timeline tổng quan'!H18</f>
        <v>Hoàn thành</v>
      </c>
      <c r="E9" s="23" t="str">
        <f>IF(AND(E$3&lt;='Timeline tổng quan'!$F$18,E$3+6&gt;='Timeline tổng quan'!$E$18),"■","")</f>
        <v>■</v>
      </c>
      <c r="F9" s="23" t="str">
        <f>IF(AND(F$3&lt;='Timeline tổng quan'!$F$18,F$3+6&gt;='Timeline tổng quan'!$E$18),"■","")</f>
        <v/>
      </c>
      <c r="G9" s="23" t="str">
        <f>IF(AND(G$3&lt;='Timeline tổng quan'!$F$18,G$3+6&gt;='Timeline tổng quan'!$E$18),"■","")</f>
        <v/>
      </c>
      <c r="H9" s="23" t="str">
        <f>IF(AND(H$3&lt;='Timeline tổng quan'!$F$18,H$3+6&gt;='Timeline tổng quan'!$E$18),"■","")</f>
        <v/>
      </c>
      <c r="I9" s="23" t="str">
        <f>IF(AND(I$3&lt;='Timeline tổng quan'!$F$18,I$3+6&gt;='Timeline tổng quan'!$E$18),"■","")</f>
        <v/>
      </c>
      <c r="J9" s="23" t="str">
        <f>IF(AND(J$3&lt;='Timeline tổng quan'!$F$18,J$3+6&gt;='Timeline tổng quan'!$E$18),"■","")</f>
        <v/>
      </c>
      <c r="K9" s="23" t="str">
        <f>IF(AND(K$3&lt;='Timeline tổng quan'!$F$18,K$3+6&gt;='Timeline tổng quan'!$E$18),"■","")</f>
        <v/>
      </c>
      <c r="L9" s="23" t="str">
        <f>IF(AND(L$3&lt;='Timeline tổng quan'!$F$18,L$3+6&gt;='Timeline tổng quan'!$E$18),"■","")</f>
        <v/>
      </c>
      <c r="M9" s="23" t="str">
        <f>IF(AND(M$3&lt;='Timeline tổng quan'!$F$18,M$3+6&gt;='Timeline tổng quan'!$E$18),"■","")</f>
        <v/>
      </c>
      <c r="N9" s="23" t="str">
        <f>IF(AND(N$3&lt;='Timeline tổng quan'!$F$18,N$3+6&gt;='Timeline tổng quan'!$E$18),"■","")</f>
        <v/>
      </c>
      <c r="O9" s="23" t="str">
        <f>IF(AND(O$3&lt;='Timeline tổng quan'!$F$18,O$3+6&gt;='Timeline tổng quan'!$E$18),"■","")</f>
        <v/>
      </c>
      <c r="P9" s="23" t="str">
        <f>IF(AND(P$3&lt;='Timeline tổng quan'!$F$18,P$3+6&gt;='Timeline tổng quan'!$E$18),"■","")</f>
        <v/>
      </c>
      <c r="Q9" s="23" t="str">
        <f>IF(AND(Q$3&lt;='Timeline tổng quan'!$F$18,Q$3+6&gt;='Timeline tổng quan'!$E$18),"■","")</f>
        <v/>
      </c>
      <c r="R9" s="23" t="str">
        <f>IF(AND(R$3&lt;='Timeline tổng quan'!$F$18,R$3+6&gt;='Timeline tổng quan'!$E$18),"■","")</f>
        <v/>
      </c>
      <c r="S9" s="23" t="str">
        <f>IF(AND(S$3&lt;='Timeline tổng quan'!$F$18,S$3+6&gt;='Timeline tổng quan'!$E$18),"■","")</f>
        <v/>
      </c>
      <c r="T9" s="29" t="str">
        <f>IF(AND(T$3&lt;='Timeline tổng quan'!$F$18,T$3+6&gt;='Timeline tổng quan'!$E$18),"■","")</f>
        <v/>
      </c>
    </row>
    <row r="10" spans="1:20" ht="13.9" customHeight="1">
      <c r="A10" s="28">
        <f>'Timeline tổng quan'!A19</f>
        <v>7</v>
      </c>
      <c r="B10" s="2">
        <f>'Timeline tổng quan'!B19</f>
        <v>0</v>
      </c>
      <c r="C10" s="2" t="str">
        <f>'Timeline tổng quan'!C19</f>
        <v>Xây dựng kế hoạch kiểm thử / đánh giá</v>
      </c>
      <c r="D10" s="2" t="str">
        <f>'Timeline tổng quan'!H19</f>
        <v>Chưa bắt đầu</v>
      </c>
      <c r="E10" s="23" t="str">
        <f>IF(AND(E$3&lt;='Timeline tổng quan'!$F$19,E$3+6&gt;='Timeline tổng quan'!$E$19),"■","")</f>
        <v/>
      </c>
      <c r="F10" s="23" t="str">
        <f>IF(AND(F$3&lt;='Timeline tổng quan'!$F$19,F$3+6&gt;='Timeline tổng quan'!$E$19),"■","")</f>
        <v/>
      </c>
      <c r="G10" s="23" t="str">
        <f>IF(AND(G$3&lt;='Timeline tổng quan'!$F$19,G$3+6&gt;='Timeline tổng quan'!$E$19),"■","")</f>
        <v>■</v>
      </c>
      <c r="H10" s="23" t="str">
        <f>IF(AND(H$3&lt;='Timeline tổng quan'!$F$19,H$3+6&gt;='Timeline tổng quan'!$E$19),"■","")</f>
        <v>■</v>
      </c>
      <c r="I10" s="23" t="str">
        <f>IF(AND(I$3&lt;='Timeline tổng quan'!$F$19,I$3+6&gt;='Timeline tổng quan'!$E$19),"■","")</f>
        <v>■</v>
      </c>
      <c r="J10" s="23" t="str">
        <f>IF(AND(J$3&lt;='Timeline tổng quan'!$F$19,J$3+6&gt;='Timeline tổng quan'!$E$19),"■","")</f>
        <v/>
      </c>
      <c r="K10" s="23" t="str">
        <f>IF(AND(K$3&lt;='Timeline tổng quan'!$F$19,K$3+6&gt;='Timeline tổng quan'!$E$19),"■","")</f>
        <v/>
      </c>
      <c r="L10" s="23" t="str">
        <f>IF(AND(L$3&lt;='Timeline tổng quan'!$F$19,L$3+6&gt;='Timeline tổng quan'!$E$19),"■","")</f>
        <v/>
      </c>
      <c r="M10" s="23" t="str">
        <f>IF(AND(M$3&lt;='Timeline tổng quan'!$F$19,M$3+6&gt;='Timeline tổng quan'!$E$19),"■","")</f>
        <v/>
      </c>
      <c r="N10" s="23" t="str">
        <f>IF(AND(N$3&lt;='Timeline tổng quan'!$F$19,N$3+6&gt;='Timeline tổng quan'!$E$19),"■","")</f>
        <v/>
      </c>
      <c r="O10" s="23" t="str">
        <f>IF(AND(O$3&lt;='Timeline tổng quan'!$F$19,O$3+6&gt;='Timeline tổng quan'!$E$19),"■","")</f>
        <v/>
      </c>
      <c r="P10" s="23" t="str">
        <f>IF(AND(P$3&lt;='Timeline tổng quan'!$F$19,P$3+6&gt;='Timeline tổng quan'!$E$19),"■","")</f>
        <v/>
      </c>
      <c r="Q10" s="23" t="str">
        <f>IF(AND(Q$3&lt;='Timeline tổng quan'!$F$19,Q$3+6&gt;='Timeline tổng quan'!$E$19),"■","")</f>
        <v/>
      </c>
      <c r="R10" s="23" t="str">
        <f>IF(AND(R$3&lt;='Timeline tổng quan'!$F$19,R$3+6&gt;='Timeline tổng quan'!$E$19),"■","")</f>
        <v/>
      </c>
      <c r="S10" s="23" t="str">
        <f>IF(AND(S$3&lt;='Timeline tổng quan'!$F$19,S$3+6&gt;='Timeline tổng quan'!$E$19),"■","")</f>
        <v/>
      </c>
      <c r="T10" s="29" t="str">
        <f>IF(AND(T$3&lt;='Timeline tổng quan'!$F$19,T$3+6&gt;='Timeline tổng quan'!$E$19),"■","")</f>
        <v/>
      </c>
    </row>
    <row r="11" spans="1:20" ht="13.9" customHeight="1">
      <c r="A11" s="28">
        <f>'Timeline tổng quan'!A20</f>
        <v>8</v>
      </c>
      <c r="B11" s="2">
        <f>'Timeline tổng quan'!B20</f>
        <v>0</v>
      </c>
      <c r="C11" s="2" t="str">
        <f>'Timeline tổng quan'!C20</f>
        <v>Làm Proof of Concept / kiểm tra khả thi</v>
      </c>
      <c r="D11" s="2" t="str">
        <f>'Timeline tổng quan'!H20</f>
        <v>Hoàn thành</v>
      </c>
      <c r="E11" s="23" t="str">
        <f>IF(AND(E$3&lt;='Timeline tổng quan'!$F$20,E$3+6&gt;='Timeline tổng quan'!$E$20),"■","")</f>
        <v>■</v>
      </c>
      <c r="F11" s="23" t="str">
        <f>IF(AND(F$3&lt;='Timeline tổng quan'!$F$20,F$3+6&gt;='Timeline tổng quan'!$E$20),"■","")</f>
        <v/>
      </c>
      <c r="G11" s="23" t="str">
        <f>IF(AND(G$3&lt;='Timeline tổng quan'!$F$20,G$3+6&gt;='Timeline tổng quan'!$E$20),"■","")</f>
        <v/>
      </c>
      <c r="H11" s="23" t="str">
        <f>IF(AND(H$3&lt;='Timeline tổng quan'!$F$20,H$3+6&gt;='Timeline tổng quan'!$E$20),"■","")</f>
        <v/>
      </c>
      <c r="I11" s="23" t="str">
        <f>IF(AND(I$3&lt;='Timeline tổng quan'!$F$20,I$3+6&gt;='Timeline tổng quan'!$E$20),"■","")</f>
        <v/>
      </c>
      <c r="J11" s="23" t="str">
        <f>IF(AND(J$3&lt;='Timeline tổng quan'!$F$20,J$3+6&gt;='Timeline tổng quan'!$E$20),"■","")</f>
        <v/>
      </c>
      <c r="K11" s="23" t="str">
        <f>IF(AND(K$3&lt;='Timeline tổng quan'!$F$20,K$3+6&gt;='Timeline tổng quan'!$E$20),"■","")</f>
        <v/>
      </c>
      <c r="L11" s="23" t="str">
        <f>IF(AND(L$3&lt;='Timeline tổng quan'!$F$20,L$3+6&gt;='Timeline tổng quan'!$E$20),"■","")</f>
        <v/>
      </c>
      <c r="M11" s="23" t="str">
        <f>IF(AND(M$3&lt;='Timeline tổng quan'!$F$20,M$3+6&gt;='Timeline tổng quan'!$E$20),"■","")</f>
        <v/>
      </c>
      <c r="N11" s="23" t="str">
        <f>IF(AND(N$3&lt;='Timeline tổng quan'!$F$20,N$3+6&gt;='Timeline tổng quan'!$E$20),"■","")</f>
        <v/>
      </c>
      <c r="O11" s="23" t="str">
        <f>IF(AND(O$3&lt;='Timeline tổng quan'!$F$20,O$3+6&gt;='Timeline tổng quan'!$E$20),"■","")</f>
        <v/>
      </c>
      <c r="P11" s="23" t="str">
        <f>IF(AND(P$3&lt;='Timeline tổng quan'!$F$20,P$3+6&gt;='Timeline tổng quan'!$E$20),"■","")</f>
        <v/>
      </c>
      <c r="Q11" s="23" t="str">
        <f>IF(AND(Q$3&lt;='Timeline tổng quan'!$F$20,Q$3+6&gt;='Timeline tổng quan'!$E$20),"■","")</f>
        <v/>
      </c>
      <c r="R11" s="23" t="str">
        <f>IF(AND(R$3&lt;='Timeline tổng quan'!$F$20,R$3+6&gt;='Timeline tổng quan'!$E$20),"■","")</f>
        <v/>
      </c>
      <c r="S11" s="23" t="str">
        <f>IF(AND(S$3&lt;='Timeline tổng quan'!$F$20,S$3+6&gt;='Timeline tổng quan'!$E$20),"■","")</f>
        <v/>
      </c>
      <c r="T11" s="29" t="str">
        <f>IF(AND(T$3&lt;='Timeline tổng quan'!$F$20,T$3+6&gt;='Timeline tổng quan'!$E$20),"■","")</f>
        <v/>
      </c>
    </row>
    <row r="12" spans="1:20" ht="27" customHeight="1">
      <c r="A12" s="28">
        <f>'Timeline tổng quan'!A21</f>
        <v>9</v>
      </c>
      <c r="B12" s="2" t="str">
        <f>'Timeline tổng quan'!B21</f>
        <v>III. TRIỂN KHAI / THỰC NGHIỆM</v>
      </c>
      <c r="C12" s="2" t="str">
        <f>'Timeline tổng quan'!C21</f>
        <v>Xây dựng phiên bản tối thiểu hoạt động (MVP)</v>
      </c>
      <c r="D12" s="2" t="str">
        <f>'Timeline tổng quan'!H21</f>
        <v>Đang thực hiện</v>
      </c>
      <c r="E12" s="23" t="str">
        <f>IF(AND(E$3&lt;='Timeline tổng quan'!$F$21,E$3+6&gt;='Timeline tổng quan'!$E$21),"■","")</f>
        <v>■</v>
      </c>
      <c r="F12" s="23" t="str">
        <f>IF(AND(F$3&lt;='Timeline tổng quan'!$F$21,F$3+6&gt;='Timeline tổng quan'!$E$21),"■","")</f>
        <v>■</v>
      </c>
      <c r="G12" s="23" t="str">
        <f>IF(AND(G$3&lt;='Timeline tổng quan'!$F$21,G$3+6&gt;='Timeline tổng quan'!$E$21),"■","")</f>
        <v>■</v>
      </c>
      <c r="H12" s="23" t="str">
        <f>IF(AND(H$3&lt;='Timeline tổng quan'!$F$21,H$3+6&gt;='Timeline tổng quan'!$E$21),"■","")</f>
        <v>■</v>
      </c>
      <c r="I12" s="23" t="str">
        <f>IF(AND(I$3&lt;='Timeline tổng quan'!$F$21,I$3+6&gt;='Timeline tổng quan'!$E$21),"■","")</f>
        <v>■</v>
      </c>
      <c r="J12" s="23" t="str">
        <f>IF(AND(J$3&lt;='Timeline tổng quan'!$F$21,J$3+6&gt;='Timeline tổng quan'!$E$21),"■","")</f>
        <v>■</v>
      </c>
      <c r="K12" s="23" t="str">
        <f>IF(AND(K$3&lt;='Timeline tổng quan'!$F$21,K$3+6&gt;='Timeline tổng quan'!$E$21),"■","")</f>
        <v/>
      </c>
      <c r="L12" s="23" t="str">
        <f>IF(AND(L$3&lt;='Timeline tổng quan'!$F$21,L$3+6&gt;='Timeline tổng quan'!$E$21),"■","")</f>
        <v/>
      </c>
      <c r="M12" s="23" t="str">
        <f>IF(AND(M$3&lt;='Timeline tổng quan'!$F$21,M$3+6&gt;='Timeline tổng quan'!$E$21),"■","")</f>
        <v/>
      </c>
      <c r="N12" s="23" t="str">
        <f>IF(AND(N$3&lt;='Timeline tổng quan'!$F$21,N$3+6&gt;='Timeline tổng quan'!$E$21),"■","")</f>
        <v/>
      </c>
      <c r="O12" s="23" t="str">
        <f>IF(AND(O$3&lt;='Timeline tổng quan'!$F$21,O$3+6&gt;='Timeline tổng quan'!$E$21),"■","")</f>
        <v/>
      </c>
      <c r="P12" s="23" t="str">
        <f>IF(AND(P$3&lt;='Timeline tổng quan'!$F$21,P$3+6&gt;='Timeline tổng quan'!$E$21),"■","")</f>
        <v/>
      </c>
      <c r="Q12" s="23" t="str">
        <f>IF(AND(Q$3&lt;='Timeline tổng quan'!$F$21,Q$3+6&gt;='Timeline tổng quan'!$E$21),"■","")</f>
        <v/>
      </c>
      <c r="R12" s="23" t="str">
        <f>IF(AND(R$3&lt;='Timeline tổng quan'!$F$21,R$3+6&gt;='Timeline tổng quan'!$E$21),"■","")</f>
        <v/>
      </c>
      <c r="S12" s="23" t="str">
        <f>IF(AND(S$3&lt;='Timeline tổng quan'!$F$21,S$3+6&gt;='Timeline tổng quan'!$E$21),"■","")</f>
        <v/>
      </c>
      <c r="T12" s="29" t="str">
        <f>IF(AND(T$3&lt;='Timeline tổng quan'!$F$21,T$3+6&gt;='Timeline tổng quan'!$E$21),"■","")</f>
        <v/>
      </c>
    </row>
    <row r="13" spans="1:20" ht="27" customHeight="1">
      <c r="A13" s="28">
        <f>'Timeline tổng quan'!A22</f>
        <v>10</v>
      </c>
      <c r="B13" s="2">
        <f>'Timeline tổng quan'!B22</f>
        <v>0</v>
      </c>
      <c r="C13" s="2" t="str">
        <f>'Timeline tổng quan'!C22</f>
        <v>Hoàn thiện các thành phần chính</v>
      </c>
      <c r="D13" s="2" t="str">
        <f>'Timeline tổng quan'!H22</f>
        <v>Đang thực hiện</v>
      </c>
      <c r="E13" s="23" t="str">
        <f>IF(AND(E$3&lt;='Timeline tổng quan'!$F$22,E$3+6&gt;='Timeline tổng quan'!$E$22),"■","")</f>
        <v>■</v>
      </c>
      <c r="F13" s="23" t="str">
        <f>IF(AND(F$3&lt;='Timeline tổng quan'!$F$22,F$3+6&gt;='Timeline tổng quan'!$E$22),"■","")</f>
        <v>■</v>
      </c>
      <c r="G13" s="23" t="str">
        <f>IF(AND(G$3&lt;='Timeline tổng quan'!$F$22,G$3+6&gt;='Timeline tổng quan'!$E$22),"■","")</f>
        <v>■</v>
      </c>
      <c r="H13" s="23" t="str">
        <f>IF(AND(H$3&lt;='Timeline tổng quan'!$F$22,H$3+6&gt;='Timeline tổng quan'!$E$22),"■","")</f>
        <v>■</v>
      </c>
      <c r="I13" s="23" t="str">
        <f>IF(AND(I$3&lt;='Timeline tổng quan'!$F$22,I$3+6&gt;='Timeline tổng quan'!$E$22),"■","")</f>
        <v>■</v>
      </c>
      <c r="J13" s="23" t="str">
        <f>IF(AND(J$3&lt;='Timeline tổng quan'!$F$22,J$3+6&gt;='Timeline tổng quan'!$E$22),"■","")</f>
        <v>■</v>
      </c>
      <c r="K13" s="23" t="str">
        <f>IF(AND(K$3&lt;='Timeline tổng quan'!$F$22,K$3+6&gt;='Timeline tổng quan'!$E$22),"■","")</f>
        <v>■</v>
      </c>
      <c r="L13" s="23" t="str">
        <f>IF(AND(L$3&lt;='Timeline tổng quan'!$F$22,L$3+6&gt;='Timeline tổng quan'!$E$22),"■","")</f>
        <v/>
      </c>
      <c r="M13" s="23" t="str">
        <f>IF(AND(M$3&lt;='Timeline tổng quan'!$F$22,M$3+6&gt;='Timeline tổng quan'!$E$22),"■","")</f>
        <v/>
      </c>
      <c r="N13" s="23" t="str">
        <f>IF(AND(N$3&lt;='Timeline tổng quan'!$F$22,N$3+6&gt;='Timeline tổng quan'!$E$22),"■","")</f>
        <v/>
      </c>
      <c r="O13" s="23" t="str">
        <f>IF(AND(O$3&lt;='Timeline tổng quan'!$F$22,O$3+6&gt;='Timeline tổng quan'!$E$22),"■","")</f>
        <v/>
      </c>
      <c r="P13" s="23" t="str">
        <f>IF(AND(P$3&lt;='Timeline tổng quan'!$F$22,P$3+6&gt;='Timeline tổng quan'!$E$22),"■","")</f>
        <v/>
      </c>
      <c r="Q13" s="23" t="str">
        <f>IF(AND(Q$3&lt;='Timeline tổng quan'!$F$22,Q$3+6&gt;='Timeline tổng quan'!$E$22),"■","")</f>
        <v/>
      </c>
      <c r="R13" s="23" t="str">
        <f>IF(AND(R$3&lt;='Timeline tổng quan'!$F$22,R$3+6&gt;='Timeline tổng quan'!$E$22),"■","")</f>
        <v/>
      </c>
      <c r="S13" s="23" t="str">
        <f>IF(AND(S$3&lt;='Timeline tổng quan'!$F$22,S$3+6&gt;='Timeline tổng quan'!$E$22),"■","")</f>
        <v/>
      </c>
      <c r="T13" s="29" t="str">
        <f>IF(AND(T$3&lt;='Timeline tổng quan'!$F$22,T$3+6&gt;='Timeline tổng quan'!$E$22),"■","")</f>
        <v/>
      </c>
    </row>
    <row r="14" spans="1:20" ht="27" customHeight="1">
      <c r="A14" s="28">
        <f>'Timeline tổng quan'!A23</f>
        <v>11</v>
      </c>
      <c r="B14" s="2">
        <f>'Timeline tổng quan'!B23</f>
        <v>0</v>
      </c>
      <c r="C14" s="2" t="str">
        <f>'Timeline tổng quan'!C23</f>
        <v>Tích hợp các thành phần và luồng hoàn chỉnh</v>
      </c>
      <c r="D14" s="2" t="str">
        <f>'Timeline tổng quan'!H23</f>
        <v>Chưa bắt đầu</v>
      </c>
      <c r="E14" s="23" t="str">
        <f>IF(AND(E$3&lt;='Timeline tổng quan'!$F$23,E$3+6&gt;='Timeline tổng quan'!$E$23),"■","")</f>
        <v/>
      </c>
      <c r="F14" s="23" t="str">
        <f>IF(AND(F$3&lt;='Timeline tổng quan'!$F$23,F$3+6&gt;='Timeline tổng quan'!$E$23),"■","")</f>
        <v/>
      </c>
      <c r="G14" s="23" t="str">
        <f>IF(AND(G$3&lt;='Timeline tổng quan'!$F$23,G$3+6&gt;='Timeline tổng quan'!$E$23),"■","")</f>
        <v/>
      </c>
      <c r="H14" s="23" t="str">
        <f>IF(AND(H$3&lt;='Timeline tổng quan'!$F$23,H$3+6&gt;='Timeline tổng quan'!$E$23),"■","")</f>
        <v/>
      </c>
      <c r="I14" s="23" t="str">
        <f>IF(AND(I$3&lt;='Timeline tổng quan'!$F$23,I$3+6&gt;='Timeline tổng quan'!$E$23),"■","")</f>
        <v/>
      </c>
      <c r="J14" s="23" t="str">
        <f>IF(AND(J$3&lt;='Timeline tổng quan'!$F$23,J$3+6&gt;='Timeline tổng quan'!$E$23),"■","")</f>
        <v/>
      </c>
      <c r="K14" s="23" t="str">
        <f>IF(AND(K$3&lt;='Timeline tổng quan'!$F$23,K$3+6&gt;='Timeline tổng quan'!$E$23),"■","")</f>
        <v>■</v>
      </c>
      <c r="L14" s="23" t="str">
        <f>IF(AND(L$3&lt;='Timeline tổng quan'!$F$23,L$3+6&gt;='Timeline tổng quan'!$E$23),"■","")</f>
        <v>■</v>
      </c>
      <c r="M14" s="23" t="str">
        <f>IF(AND(M$3&lt;='Timeline tổng quan'!$F$23,M$3+6&gt;='Timeline tổng quan'!$E$23),"■","")</f>
        <v/>
      </c>
      <c r="N14" s="23" t="str">
        <f>IF(AND(N$3&lt;='Timeline tổng quan'!$F$23,N$3+6&gt;='Timeline tổng quan'!$E$23),"■","")</f>
        <v/>
      </c>
      <c r="O14" s="23" t="str">
        <f>IF(AND(O$3&lt;='Timeline tổng quan'!$F$23,O$3+6&gt;='Timeline tổng quan'!$E$23),"■","")</f>
        <v/>
      </c>
      <c r="P14" s="23" t="str">
        <f>IF(AND(P$3&lt;='Timeline tổng quan'!$F$23,P$3+6&gt;='Timeline tổng quan'!$E$23),"■","")</f>
        <v/>
      </c>
      <c r="Q14" s="23" t="str">
        <f>IF(AND(Q$3&lt;='Timeline tổng quan'!$F$23,Q$3+6&gt;='Timeline tổng quan'!$E$23),"■","")</f>
        <v/>
      </c>
      <c r="R14" s="23" t="str">
        <f>IF(AND(R$3&lt;='Timeline tổng quan'!$F$23,R$3+6&gt;='Timeline tổng quan'!$E$23),"■","")</f>
        <v/>
      </c>
      <c r="S14" s="23" t="str">
        <f>IF(AND(S$3&lt;='Timeline tổng quan'!$F$23,S$3+6&gt;='Timeline tổng quan'!$E$23),"■","")</f>
        <v/>
      </c>
      <c r="T14" s="29" t="str">
        <f>IF(AND(T$3&lt;='Timeline tổng quan'!$F$23,T$3+6&gt;='Timeline tổng quan'!$E$23),"■","")</f>
        <v/>
      </c>
    </row>
    <row r="15" spans="1:20" ht="27" customHeight="1">
      <c r="A15" s="28">
        <f>'Timeline tổng quan'!A24</f>
        <v>12</v>
      </c>
      <c r="B15" s="2">
        <f>'Timeline tổng quan'!B24</f>
        <v>0</v>
      </c>
      <c r="C15" s="2" t="str">
        <f>'Timeline tổng quan'!C24</f>
        <v>Debug, ổn định và chuẩn hóa phiên bản</v>
      </c>
      <c r="D15" s="2" t="str">
        <f>'Timeline tổng quan'!H24</f>
        <v>Chưa bắt đầu</v>
      </c>
      <c r="E15" s="23" t="str">
        <f>IF(AND(E$3&lt;='Timeline tổng quan'!$F$24,E$3+6&gt;='Timeline tổng quan'!$E$24),"■","")</f>
        <v/>
      </c>
      <c r="F15" s="23" t="str">
        <f>IF(AND(F$3&lt;='Timeline tổng quan'!$F$24,F$3+6&gt;='Timeline tổng quan'!$E$24),"■","")</f>
        <v/>
      </c>
      <c r="G15" s="23" t="str">
        <f>IF(AND(G$3&lt;='Timeline tổng quan'!$F$24,G$3+6&gt;='Timeline tổng quan'!$E$24),"■","")</f>
        <v/>
      </c>
      <c r="H15" s="23" t="str">
        <f>IF(AND(H$3&lt;='Timeline tổng quan'!$F$24,H$3+6&gt;='Timeline tổng quan'!$E$24),"■","")</f>
        <v/>
      </c>
      <c r="I15" s="23" t="str">
        <f>IF(AND(I$3&lt;='Timeline tổng quan'!$F$24,I$3+6&gt;='Timeline tổng quan'!$E$24),"■","")</f>
        <v/>
      </c>
      <c r="J15" s="23" t="str">
        <f>IF(AND(J$3&lt;='Timeline tổng quan'!$F$24,J$3+6&gt;='Timeline tổng quan'!$E$24),"■","")</f>
        <v/>
      </c>
      <c r="K15" s="23" t="str">
        <f>IF(AND(K$3&lt;='Timeline tổng quan'!$F$24,K$3+6&gt;='Timeline tổng quan'!$E$24),"■","")</f>
        <v/>
      </c>
      <c r="L15" s="23" t="str">
        <f>IF(AND(L$3&lt;='Timeline tổng quan'!$F$24,L$3+6&gt;='Timeline tổng quan'!$E$24),"■","")</f>
        <v>■</v>
      </c>
      <c r="M15" s="23" t="str">
        <f>IF(AND(M$3&lt;='Timeline tổng quan'!$F$24,M$3+6&gt;='Timeline tổng quan'!$E$24),"■","")</f>
        <v>■</v>
      </c>
      <c r="N15" s="23" t="str">
        <f>IF(AND(N$3&lt;='Timeline tổng quan'!$F$24,N$3+6&gt;='Timeline tổng quan'!$E$24),"■","")</f>
        <v/>
      </c>
      <c r="O15" s="23" t="str">
        <f>IF(AND(O$3&lt;='Timeline tổng quan'!$F$24,O$3+6&gt;='Timeline tổng quan'!$E$24),"■","")</f>
        <v/>
      </c>
      <c r="P15" s="23" t="str">
        <f>IF(AND(P$3&lt;='Timeline tổng quan'!$F$24,P$3+6&gt;='Timeline tổng quan'!$E$24),"■","")</f>
        <v/>
      </c>
      <c r="Q15" s="23" t="str">
        <f>IF(AND(Q$3&lt;='Timeline tổng quan'!$F$24,Q$3+6&gt;='Timeline tổng quan'!$E$24),"■","")</f>
        <v/>
      </c>
      <c r="R15" s="23" t="str">
        <f>IF(AND(R$3&lt;='Timeline tổng quan'!$F$24,R$3+6&gt;='Timeline tổng quan'!$E$24),"■","")</f>
        <v/>
      </c>
      <c r="S15" s="23" t="str">
        <f>IF(AND(S$3&lt;='Timeline tổng quan'!$F$24,S$3+6&gt;='Timeline tổng quan'!$E$24),"■","")</f>
        <v/>
      </c>
      <c r="T15" s="29" t="str">
        <f>IF(AND(T$3&lt;='Timeline tổng quan'!$F$24,T$3+6&gt;='Timeline tổng quan'!$E$24),"■","")</f>
        <v/>
      </c>
    </row>
    <row r="16" spans="1:20" ht="27" customHeight="1">
      <c r="A16" s="28">
        <f>'Timeline tổng quan'!A25</f>
        <v>13</v>
      </c>
      <c r="B16" s="2">
        <f>'Timeline tổng quan'!B25</f>
        <v>0</v>
      </c>
      <c r="C16" s="2" t="str">
        <f>'Timeline tổng quan'!C25</f>
        <v>Duy trì nhật ký kỹ thuật và bằng chứng</v>
      </c>
      <c r="D16" s="2" t="str">
        <f>'Timeline tổng quan'!H25</f>
        <v>Đang thực hiện</v>
      </c>
      <c r="E16" s="23" t="str">
        <f>IF(AND(E$3&lt;='Timeline tổng quan'!$F$25,E$3+6&gt;='Timeline tổng quan'!$E$25),"■","")</f>
        <v>■</v>
      </c>
      <c r="F16" s="23" t="str">
        <f>IF(AND(F$3&lt;='Timeline tổng quan'!$F$25,F$3+6&gt;='Timeline tổng quan'!$E$25),"■","")</f>
        <v>■</v>
      </c>
      <c r="G16" s="23" t="str">
        <f>IF(AND(G$3&lt;='Timeline tổng quan'!$F$25,G$3+6&gt;='Timeline tổng quan'!$E$25),"■","")</f>
        <v>■</v>
      </c>
      <c r="H16" s="23" t="str">
        <f>IF(AND(H$3&lt;='Timeline tổng quan'!$F$25,H$3+6&gt;='Timeline tổng quan'!$E$25),"■","")</f>
        <v>■</v>
      </c>
      <c r="I16" s="23" t="str">
        <f>IF(AND(I$3&lt;='Timeline tổng quan'!$F$25,I$3+6&gt;='Timeline tổng quan'!$E$25),"■","")</f>
        <v>■</v>
      </c>
      <c r="J16" s="23" t="str">
        <f>IF(AND(J$3&lt;='Timeline tổng quan'!$F$25,J$3+6&gt;='Timeline tổng quan'!$E$25),"■","")</f>
        <v>■</v>
      </c>
      <c r="K16" s="23" t="str">
        <f>IF(AND(K$3&lt;='Timeline tổng quan'!$F$25,K$3+6&gt;='Timeline tổng quan'!$E$25),"■","")</f>
        <v>■</v>
      </c>
      <c r="L16" s="23" t="str">
        <f>IF(AND(L$3&lt;='Timeline tổng quan'!$F$25,L$3+6&gt;='Timeline tổng quan'!$E$25),"■","")</f>
        <v>■</v>
      </c>
      <c r="M16" s="23" t="str">
        <f>IF(AND(M$3&lt;='Timeline tổng quan'!$F$25,M$3+6&gt;='Timeline tổng quan'!$E$25),"■","")</f>
        <v>■</v>
      </c>
      <c r="N16" s="23" t="str">
        <f>IF(AND(N$3&lt;='Timeline tổng quan'!$F$25,N$3+6&gt;='Timeline tổng quan'!$E$25),"■","")</f>
        <v/>
      </c>
      <c r="O16" s="23" t="str">
        <f>IF(AND(O$3&lt;='Timeline tổng quan'!$F$25,O$3+6&gt;='Timeline tổng quan'!$E$25),"■","")</f>
        <v/>
      </c>
      <c r="P16" s="23" t="str">
        <f>IF(AND(P$3&lt;='Timeline tổng quan'!$F$25,P$3+6&gt;='Timeline tổng quan'!$E$25),"■","")</f>
        <v/>
      </c>
      <c r="Q16" s="23" t="str">
        <f>IF(AND(Q$3&lt;='Timeline tổng quan'!$F$25,Q$3+6&gt;='Timeline tổng quan'!$E$25),"■","")</f>
        <v/>
      </c>
      <c r="R16" s="23" t="str">
        <f>IF(AND(R$3&lt;='Timeline tổng quan'!$F$25,R$3+6&gt;='Timeline tổng quan'!$E$25),"■","")</f>
        <v/>
      </c>
      <c r="S16" s="23" t="str">
        <f>IF(AND(S$3&lt;='Timeline tổng quan'!$F$25,S$3+6&gt;='Timeline tổng quan'!$E$25),"■","")</f>
        <v/>
      </c>
      <c r="T16" s="29" t="str">
        <f>IF(AND(T$3&lt;='Timeline tổng quan'!$F$25,T$3+6&gt;='Timeline tổng quan'!$E$25),"■","")</f>
        <v/>
      </c>
    </row>
    <row r="17" spans="1:20" ht="13.9" customHeight="1">
      <c r="A17" s="28">
        <f>'Timeline tổng quan'!A26</f>
        <v>14</v>
      </c>
      <c r="B17" s="2" t="str">
        <f>'Timeline tổng quan'!B26</f>
        <v>IV. KIỂM THỬ &amp; ĐÁNH GIÁ</v>
      </c>
      <c r="C17" s="2" t="str">
        <f>'Timeline tổng quan'!C26</f>
        <v>Chạy các kịch bản kiểm thử chính thức</v>
      </c>
      <c r="D17" s="2" t="str">
        <f>'Timeline tổng quan'!H26</f>
        <v>Chưa bắt đầu</v>
      </c>
      <c r="E17" s="23" t="str">
        <f>IF(AND(E$3&lt;='Timeline tổng quan'!$F$26,E$3+6&gt;='Timeline tổng quan'!$E$26),"■","")</f>
        <v/>
      </c>
      <c r="F17" s="23" t="str">
        <f>IF(AND(F$3&lt;='Timeline tổng quan'!$F$26,F$3+6&gt;='Timeline tổng quan'!$E$26),"■","")</f>
        <v/>
      </c>
      <c r="G17" s="23" t="str">
        <f>IF(AND(G$3&lt;='Timeline tổng quan'!$F$26,G$3+6&gt;='Timeline tổng quan'!$E$26),"■","")</f>
        <v/>
      </c>
      <c r="H17" s="23" t="str">
        <f>IF(AND(H$3&lt;='Timeline tổng quan'!$F$26,H$3+6&gt;='Timeline tổng quan'!$E$26),"■","")</f>
        <v/>
      </c>
      <c r="I17" s="23" t="str">
        <f>IF(AND(I$3&lt;='Timeline tổng quan'!$F$26,I$3+6&gt;='Timeline tổng quan'!$E$26),"■","")</f>
        <v/>
      </c>
      <c r="J17" s="23" t="str">
        <f>IF(AND(J$3&lt;='Timeline tổng quan'!$F$26,J$3+6&gt;='Timeline tổng quan'!$E$26),"■","")</f>
        <v/>
      </c>
      <c r="K17" s="23" t="str">
        <f>IF(AND(K$3&lt;='Timeline tổng quan'!$F$26,K$3+6&gt;='Timeline tổng quan'!$E$26),"■","")</f>
        <v/>
      </c>
      <c r="L17" s="23" t="str">
        <f>IF(AND(L$3&lt;='Timeline tổng quan'!$F$26,L$3+6&gt;='Timeline tổng quan'!$E$26),"■","")</f>
        <v/>
      </c>
      <c r="M17" s="23" t="str">
        <f>IF(AND(M$3&lt;='Timeline tổng quan'!$F$26,M$3+6&gt;='Timeline tổng quan'!$E$26),"■","")</f>
        <v>■</v>
      </c>
      <c r="N17" s="23" t="str">
        <f>IF(AND(N$3&lt;='Timeline tổng quan'!$F$26,N$3+6&gt;='Timeline tổng quan'!$E$26),"■","")</f>
        <v>■</v>
      </c>
      <c r="O17" s="23" t="str">
        <f>IF(AND(O$3&lt;='Timeline tổng quan'!$F$26,O$3+6&gt;='Timeline tổng quan'!$E$26),"■","")</f>
        <v/>
      </c>
      <c r="P17" s="23" t="str">
        <f>IF(AND(P$3&lt;='Timeline tổng quan'!$F$26,P$3+6&gt;='Timeline tổng quan'!$E$26),"■","")</f>
        <v/>
      </c>
      <c r="Q17" s="23" t="str">
        <f>IF(AND(Q$3&lt;='Timeline tổng quan'!$F$26,Q$3+6&gt;='Timeline tổng quan'!$E$26),"■","")</f>
        <v/>
      </c>
      <c r="R17" s="23" t="str">
        <f>IF(AND(R$3&lt;='Timeline tổng quan'!$F$26,R$3+6&gt;='Timeline tổng quan'!$E$26),"■","")</f>
        <v/>
      </c>
      <c r="S17" s="23" t="str">
        <f>IF(AND(S$3&lt;='Timeline tổng quan'!$F$26,S$3+6&gt;='Timeline tổng quan'!$E$26),"■","")</f>
        <v/>
      </c>
      <c r="T17" s="29" t="str">
        <f>IF(AND(T$3&lt;='Timeline tổng quan'!$F$26,T$3+6&gt;='Timeline tổng quan'!$E$26),"■","")</f>
        <v/>
      </c>
    </row>
    <row r="18" spans="1:20" ht="13.9" customHeight="1">
      <c r="A18" s="28">
        <f>'Timeline tổng quan'!A27</f>
        <v>15</v>
      </c>
      <c r="B18" s="2">
        <f>'Timeline tổng quan'!B27</f>
        <v>0</v>
      </c>
      <c r="C18" s="2" t="str">
        <f>'Timeline tổng quan'!C27</f>
        <v>Thu thập và làm sạch dữ liệu / kết quả</v>
      </c>
      <c r="D18" s="2" t="str">
        <f>'Timeline tổng quan'!H27</f>
        <v>Chưa bắt đầu</v>
      </c>
      <c r="E18" s="23" t="str">
        <f>IF(AND(E$3&lt;='Timeline tổng quan'!$F$27,E$3+6&gt;='Timeline tổng quan'!$E$27),"■","")</f>
        <v/>
      </c>
      <c r="F18" s="23" t="str">
        <f>IF(AND(F$3&lt;='Timeline tổng quan'!$F$27,F$3+6&gt;='Timeline tổng quan'!$E$27),"■","")</f>
        <v/>
      </c>
      <c r="G18" s="23" t="str">
        <f>IF(AND(G$3&lt;='Timeline tổng quan'!$F$27,G$3+6&gt;='Timeline tổng quan'!$E$27),"■","")</f>
        <v/>
      </c>
      <c r="H18" s="23" t="str">
        <f>IF(AND(H$3&lt;='Timeline tổng quan'!$F$27,H$3+6&gt;='Timeline tổng quan'!$E$27),"■","")</f>
        <v/>
      </c>
      <c r="I18" s="23" t="str">
        <f>IF(AND(I$3&lt;='Timeline tổng quan'!$F$27,I$3+6&gt;='Timeline tổng quan'!$E$27),"■","")</f>
        <v/>
      </c>
      <c r="J18" s="23" t="str">
        <f>IF(AND(J$3&lt;='Timeline tổng quan'!$F$27,J$3+6&gt;='Timeline tổng quan'!$E$27),"■","")</f>
        <v/>
      </c>
      <c r="K18" s="23" t="str">
        <f>IF(AND(K$3&lt;='Timeline tổng quan'!$F$27,K$3+6&gt;='Timeline tổng quan'!$E$27),"■","")</f>
        <v/>
      </c>
      <c r="L18" s="23" t="str">
        <f>IF(AND(L$3&lt;='Timeline tổng quan'!$F$27,L$3+6&gt;='Timeline tổng quan'!$E$27),"■","")</f>
        <v/>
      </c>
      <c r="M18" s="23" t="str">
        <f>IF(AND(M$3&lt;='Timeline tổng quan'!$F$27,M$3+6&gt;='Timeline tổng quan'!$E$27),"■","")</f>
        <v/>
      </c>
      <c r="N18" s="23" t="str">
        <f>IF(AND(N$3&lt;='Timeline tổng quan'!$F$27,N$3+6&gt;='Timeline tổng quan'!$E$27),"■","")</f>
        <v>■</v>
      </c>
      <c r="O18" s="23" t="str">
        <f>IF(AND(O$3&lt;='Timeline tổng quan'!$F$27,O$3+6&gt;='Timeline tổng quan'!$E$27),"■","")</f>
        <v>■</v>
      </c>
      <c r="P18" s="23" t="str">
        <f>IF(AND(P$3&lt;='Timeline tổng quan'!$F$27,P$3+6&gt;='Timeline tổng quan'!$E$27),"■","")</f>
        <v/>
      </c>
      <c r="Q18" s="23" t="str">
        <f>IF(AND(Q$3&lt;='Timeline tổng quan'!$F$27,Q$3+6&gt;='Timeline tổng quan'!$E$27),"■","")</f>
        <v/>
      </c>
      <c r="R18" s="23" t="str">
        <f>IF(AND(R$3&lt;='Timeline tổng quan'!$F$27,R$3+6&gt;='Timeline tổng quan'!$E$27),"■","")</f>
        <v/>
      </c>
      <c r="S18" s="23" t="str">
        <f>IF(AND(S$3&lt;='Timeline tổng quan'!$F$27,S$3+6&gt;='Timeline tổng quan'!$E$27),"■","")</f>
        <v/>
      </c>
      <c r="T18" s="29" t="str">
        <f>IF(AND(T$3&lt;='Timeline tổng quan'!$F$27,T$3+6&gt;='Timeline tổng quan'!$E$27),"■","")</f>
        <v/>
      </c>
    </row>
    <row r="19" spans="1:20" ht="13.9" customHeight="1">
      <c r="A19" s="28">
        <f>'Timeline tổng quan'!A28</f>
        <v>16</v>
      </c>
      <c r="B19" s="2">
        <f>'Timeline tổng quan'!B28</f>
        <v>0</v>
      </c>
      <c r="C19" s="2" t="str">
        <f>'Timeline tổng quan'!C28</f>
        <v>Phân tích kết quả và tạo bảng/biểu đồ</v>
      </c>
      <c r="D19" s="2" t="str">
        <f>'Timeline tổng quan'!H28</f>
        <v>Chưa bắt đầu</v>
      </c>
      <c r="E19" s="23" t="str">
        <f>IF(AND(E$3&lt;='Timeline tổng quan'!$F$28,E$3+6&gt;='Timeline tổng quan'!$E$28),"■","")</f>
        <v/>
      </c>
      <c r="F19" s="23" t="str">
        <f>IF(AND(F$3&lt;='Timeline tổng quan'!$F$28,F$3+6&gt;='Timeline tổng quan'!$E$28),"■","")</f>
        <v/>
      </c>
      <c r="G19" s="23" t="str">
        <f>IF(AND(G$3&lt;='Timeline tổng quan'!$F$28,G$3+6&gt;='Timeline tổng quan'!$E$28),"■","")</f>
        <v/>
      </c>
      <c r="H19" s="23" t="str">
        <f>IF(AND(H$3&lt;='Timeline tổng quan'!$F$28,H$3+6&gt;='Timeline tổng quan'!$E$28),"■","")</f>
        <v/>
      </c>
      <c r="I19" s="23" t="str">
        <f>IF(AND(I$3&lt;='Timeline tổng quan'!$F$28,I$3+6&gt;='Timeline tổng quan'!$E$28),"■","")</f>
        <v/>
      </c>
      <c r="J19" s="23" t="str">
        <f>IF(AND(J$3&lt;='Timeline tổng quan'!$F$28,J$3+6&gt;='Timeline tổng quan'!$E$28),"■","")</f>
        <v/>
      </c>
      <c r="K19" s="23" t="str">
        <f>IF(AND(K$3&lt;='Timeline tổng quan'!$F$28,K$3+6&gt;='Timeline tổng quan'!$E$28),"■","")</f>
        <v/>
      </c>
      <c r="L19" s="23" t="str">
        <f>IF(AND(L$3&lt;='Timeline tổng quan'!$F$28,L$3+6&gt;='Timeline tổng quan'!$E$28),"■","")</f>
        <v/>
      </c>
      <c r="M19" s="23" t="str">
        <f>IF(AND(M$3&lt;='Timeline tổng quan'!$F$28,M$3+6&gt;='Timeline tổng quan'!$E$28),"■","")</f>
        <v/>
      </c>
      <c r="N19" s="23" t="str">
        <f>IF(AND(N$3&lt;='Timeline tổng quan'!$F$28,N$3+6&gt;='Timeline tổng quan'!$E$28),"■","")</f>
        <v/>
      </c>
      <c r="O19" s="23" t="str">
        <f>IF(AND(O$3&lt;='Timeline tổng quan'!$F$28,O$3+6&gt;='Timeline tổng quan'!$E$28),"■","")</f>
        <v>■</v>
      </c>
      <c r="P19" s="23" t="str">
        <f>IF(AND(P$3&lt;='Timeline tổng quan'!$F$28,P$3+6&gt;='Timeline tổng quan'!$E$28),"■","")</f>
        <v>■</v>
      </c>
      <c r="Q19" s="23" t="str">
        <f>IF(AND(Q$3&lt;='Timeline tổng quan'!$F$28,Q$3+6&gt;='Timeline tổng quan'!$E$28),"■","")</f>
        <v/>
      </c>
      <c r="R19" s="23" t="str">
        <f>IF(AND(R$3&lt;='Timeline tổng quan'!$F$28,R$3+6&gt;='Timeline tổng quan'!$E$28),"■","")</f>
        <v/>
      </c>
      <c r="S19" s="23" t="str">
        <f>IF(AND(S$3&lt;='Timeline tổng quan'!$F$28,S$3+6&gt;='Timeline tổng quan'!$E$28),"■","")</f>
        <v/>
      </c>
      <c r="T19" s="29" t="str">
        <f>IF(AND(T$3&lt;='Timeline tổng quan'!$F$28,T$3+6&gt;='Timeline tổng quan'!$E$28),"■","")</f>
        <v/>
      </c>
    </row>
    <row r="20" spans="1:20" ht="13.9" customHeight="1">
      <c r="A20" s="28">
        <f>'Timeline tổng quan'!A29</f>
        <v>17</v>
      </c>
      <c r="B20" s="2">
        <f>'Timeline tổng quan'!B29</f>
        <v>0</v>
      </c>
      <c r="C20" s="2" t="str">
        <f>'Timeline tổng quan'!C29</f>
        <v>Đối chiếu mục tiêu, hạn chế và độ tin cậy</v>
      </c>
      <c r="D20" s="2" t="str">
        <f>'Timeline tổng quan'!H29</f>
        <v>Chưa bắt đầu</v>
      </c>
      <c r="E20" s="23" t="str">
        <f>IF(AND(E$3&lt;='Timeline tổng quan'!$F$29,E$3+6&gt;='Timeline tổng quan'!$E$29),"■","")</f>
        <v/>
      </c>
      <c r="F20" s="23" t="str">
        <f>IF(AND(F$3&lt;='Timeline tổng quan'!$F$29,F$3+6&gt;='Timeline tổng quan'!$E$29),"■","")</f>
        <v/>
      </c>
      <c r="G20" s="23" t="str">
        <f>IF(AND(G$3&lt;='Timeline tổng quan'!$F$29,G$3+6&gt;='Timeline tổng quan'!$E$29),"■","")</f>
        <v/>
      </c>
      <c r="H20" s="23" t="str">
        <f>IF(AND(H$3&lt;='Timeline tổng quan'!$F$29,H$3+6&gt;='Timeline tổng quan'!$E$29),"■","")</f>
        <v/>
      </c>
      <c r="I20" s="23" t="str">
        <f>IF(AND(I$3&lt;='Timeline tổng quan'!$F$29,I$3+6&gt;='Timeline tổng quan'!$E$29),"■","")</f>
        <v/>
      </c>
      <c r="J20" s="23" t="str">
        <f>IF(AND(J$3&lt;='Timeline tổng quan'!$F$29,J$3+6&gt;='Timeline tổng quan'!$E$29),"■","")</f>
        <v/>
      </c>
      <c r="K20" s="23" t="str">
        <f>IF(AND(K$3&lt;='Timeline tổng quan'!$F$29,K$3+6&gt;='Timeline tổng quan'!$E$29),"■","")</f>
        <v/>
      </c>
      <c r="L20" s="23" t="str">
        <f>IF(AND(L$3&lt;='Timeline tổng quan'!$F$29,L$3+6&gt;='Timeline tổng quan'!$E$29),"■","")</f>
        <v/>
      </c>
      <c r="M20" s="23" t="str">
        <f>IF(AND(M$3&lt;='Timeline tổng quan'!$F$29,M$3+6&gt;='Timeline tổng quan'!$E$29),"■","")</f>
        <v/>
      </c>
      <c r="N20" s="23" t="str">
        <f>IF(AND(N$3&lt;='Timeline tổng quan'!$F$29,N$3+6&gt;='Timeline tổng quan'!$E$29),"■","")</f>
        <v/>
      </c>
      <c r="O20" s="23" t="str">
        <f>IF(AND(O$3&lt;='Timeline tổng quan'!$F$29,O$3+6&gt;='Timeline tổng quan'!$E$29),"■","")</f>
        <v>■</v>
      </c>
      <c r="P20" s="23" t="str">
        <f>IF(AND(P$3&lt;='Timeline tổng quan'!$F$29,P$3+6&gt;='Timeline tổng quan'!$E$29),"■","")</f>
        <v>■</v>
      </c>
      <c r="Q20" s="23" t="str">
        <f>IF(AND(Q$3&lt;='Timeline tổng quan'!$F$29,Q$3+6&gt;='Timeline tổng quan'!$E$29),"■","")</f>
        <v/>
      </c>
      <c r="R20" s="23" t="str">
        <f>IF(AND(R$3&lt;='Timeline tổng quan'!$F$29,R$3+6&gt;='Timeline tổng quan'!$E$29),"■","")</f>
        <v/>
      </c>
      <c r="S20" s="23" t="str">
        <f>IF(AND(S$3&lt;='Timeline tổng quan'!$F$29,S$3+6&gt;='Timeline tổng quan'!$E$29),"■","")</f>
        <v/>
      </c>
      <c r="T20" s="29" t="str">
        <f>IF(AND(T$3&lt;='Timeline tổng quan'!$F$29,T$3+6&gt;='Timeline tổng quan'!$E$29),"■","")</f>
        <v/>
      </c>
    </row>
    <row r="21" spans="1:20" ht="27" customHeight="1">
      <c r="A21" s="28">
        <f>'Timeline tổng quan'!A30</f>
        <v>18</v>
      </c>
      <c r="B21" s="2" t="str">
        <f>'Timeline tổng quan'!B30</f>
        <v>V. VIẾT &amp; HOÀN THIỆN BÁO CÁO</v>
      </c>
      <c r="C21" s="2" t="str">
        <f>'Timeline tổng quan'!C30</f>
        <v>Lập outline và viết các phần nền tảng</v>
      </c>
      <c r="D21" s="2" t="str">
        <f>'Timeline tổng quan'!H30</f>
        <v>Chưa bắt đầu</v>
      </c>
      <c r="E21" s="23" t="str">
        <f>IF(AND(E$3&lt;='Timeline tổng quan'!$F$30,E$3+6&gt;='Timeline tổng quan'!$E$30),"■","")</f>
        <v/>
      </c>
      <c r="F21" s="23" t="str">
        <f>IF(AND(F$3&lt;='Timeline tổng quan'!$F$30,F$3+6&gt;='Timeline tổng quan'!$E$30),"■","")</f>
        <v/>
      </c>
      <c r="G21" s="23" t="str">
        <f>IF(AND(G$3&lt;='Timeline tổng quan'!$F$30,G$3+6&gt;='Timeline tổng quan'!$E$30),"■","")</f>
        <v/>
      </c>
      <c r="H21" s="23" t="str">
        <f>IF(AND(H$3&lt;='Timeline tổng quan'!$F$30,H$3+6&gt;='Timeline tổng quan'!$E$30),"■","")</f>
        <v/>
      </c>
      <c r="I21" s="23" t="str">
        <f>IF(AND(I$3&lt;='Timeline tổng quan'!$F$30,I$3+6&gt;='Timeline tổng quan'!$E$30),"■","")</f>
        <v/>
      </c>
      <c r="J21" s="23" t="str">
        <f>IF(AND(J$3&lt;='Timeline tổng quan'!$F$30,J$3+6&gt;='Timeline tổng quan'!$E$30),"■","")</f>
        <v/>
      </c>
      <c r="K21" s="23" t="str">
        <f>IF(AND(K$3&lt;='Timeline tổng quan'!$F$30,K$3+6&gt;='Timeline tổng quan'!$E$30),"■","")</f>
        <v/>
      </c>
      <c r="L21" s="23" t="str">
        <f>IF(AND(L$3&lt;='Timeline tổng quan'!$F$30,L$3+6&gt;='Timeline tổng quan'!$E$30),"■","")</f>
        <v/>
      </c>
      <c r="M21" s="23" t="str">
        <f>IF(AND(M$3&lt;='Timeline tổng quan'!$F$30,M$3+6&gt;='Timeline tổng quan'!$E$30),"■","")</f>
        <v>■</v>
      </c>
      <c r="N21" s="23" t="str">
        <f>IF(AND(N$3&lt;='Timeline tổng quan'!$F$30,N$3+6&gt;='Timeline tổng quan'!$E$30),"■","")</f>
        <v>■</v>
      </c>
      <c r="O21" s="23" t="str">
        <f>IF(AND(O$3&lt;='Timeline tổng quan'!$F$30,O$3+6&gt;='Timeline tổng quan'!$E$30),"■","")</f>
        <v>■</v>
      </c>
      <c r="P21" s="23" t="str">
        <f>IF(AND(P$3&lt;='Timeline tổng quan'!$F$30,P$3+6&gt;='Timeline tổng quan'!$E$30),"■","")</f>
        <v/>
      </c>
      <c r="Q21" s="23" t="str">
        <f>IF(AND(Q$3&lt;='Timeline tổng quan'!$F$30,Q$3+6&gt;='Timeline tổng quan'!$E$30),"■","")</f>
        <v/>
      </c>
      <c r="R21" s="23" t="str">
        <f>IF(AND(R$3&lt;='Timeline tổng quan'!$F$30,R$3+6&gt;='Timeline tổng quan'!$E$30),"■","")</f>
        <v/>
      </c>
      <c r="S21" s="23" t="str">
        <f>IF(AND(S$3&lt;='Timeline tổng quan'!$F$30,S$3+6&gt;='Timeline tổng quan'!$E$30),"■","")</f>
        <v/>
      </c>
      <c r="T21" s="29" t="str">
        <f>IF(AND(T$3&lt;='Timeline tổng quan'!$F$30,T$3+6&gt;='Timeline tổng quan'!$E$30),"■","")</f>
        <v/>
      </c>
    </row>
    <row r="22" spans="1:20" ht="27" customHeight="1">
      <c r="A22" s="28">
        <f>'Timeline tổng quan'!A31</f>
        <v>19</v>
      </c>
      <c r="B22" s="2">
        <f>'Timeline tổng quan'!B31</f>
        <v>0</v>
      </c>
      <c r="C22" s="2" t="str">
        <f>'Timeline tổng quan'!C31</f>
        <v>Viết phần triển khai, kiểm thử và kết quả</v>
      </c>
      <c r="D22" s="2" t="str">
        <f>'Timeline tổng quan'!H31</f>
        <v>Chưa bắt đầu</v>
      </c>
      <c r="E22" s="23" t="str">
        <f>IF(AND(E$3&lt;='Timeline tổng quan'!$F$31,E$3+6&gt;='Timeline tổng quan'!$E$31),"■","")</f>
        <v/>
      </c>
      <c r="F22" s="23" t="str">
        <f>IF(AND(F$3&lt;='Timeline tổng quan'!$F$31,F$3+6&gt;='Timeline tổng quan'!$E$31),"■","")</f>
        <v/>
      </c>
      <c r="G22" s="23" t="str">
        <f>IF(AND(G$3&lt;='Timeline tổng quan'!$F$31,G$3+6&gt;='Timeline tổng quan'!$E$31),"■","")</f>
        <v/>
      </c>
      <c r="H22" s="23" t="str">
        <f>IF(AND(H$3&lt;='Timeline tổng quan'!$F$31,H$3+6&gt;='Timeline tổng quan'!$E$31),"■","")</f>
        <v/>
      </c>
      <c r="I22" s="23" t="str">
        <f>IF(AND(I$3&lt;='Timeline tổng quan'!$F$31,I$3+6&gt;='Timeline tổng quan'!$E$31),"■","")</f>
        <v/>
      </c>
      <c r="J22" s="23" t="str">
        <f>IF(AND(J$3&lt;='Timeline tổng quan'!$F$31,J$3+6&gt;='Timeline tổng quan'!$E$31),"■","")</f>
        <v/>
      </c>
      <c r="K22" s="23" t="str">
        <f>IF(AND(K$3&lt;='Timeline tổng quan'!$F$31,K$3+6&gt;='Timeline tổng quan'!$E$31),"■","")</f>
        <v/>
      </c>
      <c r="L22" s="23" t="str">
        <f>IF(AND(L$3&lt;='Timeline tổng quan'!$F$31,L$3+6&gt;='Timeline tổng quan'!$E$31),"■","")</f>
        <v/>
      </c>
      <c r="M22" s="23" t="str">
        <f>IF(AND(M$3&lt;='Timeline tổng quan'!$F$31,M$3+6&gt;='Timeline tổng quan'!$E$31),"■","")</f>
        <v/>
      </c>
      <c r="N22" s="23" t="str">
        <f>IF(AND(N$3&lt;='Timeline tổng quan'!$F$31,N$3+6&gt;='Timeline tổng quan'!$E$31),"■","")</f>
        <v/>
      </c>
      <c r="O22" s="23" t="str">
        <f>IF(AND(O$3&lt;='Timeline tổng quan'!$F$31,O$3+6&gt;='Timeline tổng quan'!$E$31),"■","")</f>
        <v>■</v>
      </c>
      <c r="P22" s="23" t="str">
        <f>IF(AND(P$3&lt;='Timeline tổng quan'!$F$31,P$3+6&gt;='Timeline tổng quan'!$E$31),"■","")</f>
        <v>■</v>
      </c>
      <c r="Q22" s="23" t="str">
        <f>IF(AND(Q$3&lt;='Timeline tổng quan'!$F$31,Q$3+6&gt;='Timeline tổng quan'!$E$31),"■","")</f>
        <v/>
      </c>
      <c r="R22" s="23" t="str">
        <f>IF(AND(R$3&lt;='Timeline tổng quan'!$F$31,R$3+6&gt;='Timeline tổng quan'!$E$31),"■","")</f>
        <v/>
      </c>
      <c r="S22" s="23" t="str">
        <f>IF(AND(S$3&lt;='Timeline tổng quan'!$F$31,S$3+6&gt;='Timeline tổng quan'!$E$31),"■","")</f>
        <v/>
      </c>
      <c r="T22" s="29" t="str">
        <f>IF(AND(T$3&lt;='Timeline tổng quan'!$F$31,T$3+6&gt;='Timeline tổng quan'!$E$31),"■","")</f>
        <v/>
      </c>
    </row>
    <row r="23" spans="1:20" ht="27" customHeight="1">
      <c r="A23" s="28">
        <f>'Timeline tổng quan'!A32</f>
        <v>20</v>
      </c>
      <c r="B23" s="2">
        <f>'Timeline tổng quan'!B32</f>
        <v>0</v>
      </c>
      <c r="C23" s="2" t="str">
        <f>'Timeline tổng quan'!C32</f>
        <v>Hoàn thành bản thảo đầy đủ</v>
      </c>
      <c r="D23" s="2" t="str">
        <f>'Timeline tổng quan'!H32</f>
        <v>Chưa bắt đầu</v>
      </c>
      <c r="E23" s="23" t="str">
        <f>IF(AND(E$3&lt;='Timeline tổng quan'!$F$32,E$3+6&gt;='Timeline tổng quan'!$E$32),"■","")</f>
        <v/>
      </c>
      <c r="F23" s="23" t="str">
        <f>IF(AND(F$3&lt;='Timeline tổng quan'!$F$32,F$3+6&gt;='Timeline tổng quan'!$E$32),"■","")</f>
        <v/>
      </c>
      <c r="G23" s="23" t="str">
        <f>IF(AND(G$3&lt;='Timeline tổng quan'!$F$32,G$3+6&gt;='Timeline tổng quan'!$E$32),"■","")</f>
        <v/>
      </c>
      <c r="H23" s="23" t="str">
        <f>IF(AND(H$3&lt;='Timeline tổng quan'!$F$32,H$3+6&gt;='Timeline tổng quan'!$E$32),"■","")</f>
        <v/>
      </c>
      <c r="I23" s="23" t="str">
        <f>IF(AND(I$3&lt;='Timeline tổng quan'!$F$32,I$3+6&gt;='Timeline tổng quan'!$E$32),"■","")</f>
        <v/>
      </c>
      <c r="J23" s="23" t="str">
        <f>IF(AND(J$3&lt;='Timeline tổng quan'!$F$32,J$3+6&gt;='Timeline tổng quan'!$E$32),"■","")</f>
        <v/>
      </c>
      <c r="K23" s="23" t="str">
        <f>IF(AND(K$3&lt;='Timeline tổng quan'!$F$32,K$3+6&gt;='Timeline tổng quan'!$E$32),"■","")</f>
        <v/>
      </c>
      <c r="L23" s="23" t="str">
        <f>IF(AND(L$3&lt;='Timeline tổng quan'!$F$32,L$3+6&gt;='Timeline tổng quan'!$E$32),"■","")</f>
        <v/>
      </c>
      <c r="M23" s="23" t="str">
        <f>IF(AND(M$3&lt;='Timeline tổng quan'!$F$32,M$3+6&gt;='Timeline tổng quan'!$E$32),"■","")</f>
        <v/>
      </c>
      <c r="N23" s="23" t="str">
        <f>IF(AND(N$3&lt;='Timeline tổng quan'!$F$32,N$3+6&gt;='Timeline tổng quan'!$E$32),"■","")</f>
        <v/>
      </c>
      <c r="O23" s="23" t="str">
        <f>IF(AND(O$3&lt;='Timeline tổng quan'!$F$32,O$3+6&gt;='Timeline tổng quan'!$E$32),"■","")</f>
        <v/>
      </c>
      <c r="P23" s="23" t="str">
        <f>IF(AND(P$3&lt;='Timeline tổng quan'!$F$32,P$3+6&gt;='Timeline tổng quan'!$E$32),"■","")</f>
        <v>■</v>
      </c>
      <c r="Q23" s="23" t="str">
        <f>IF(AND(Q$3&lt;='Timeline tổng quan'!$F$32,Q$3+6&gt;='Timeline tổng quan'!$E$32),"■","")</f>
        <v>■</v>
      </c>
      <c r="R23" s="23" t="str">
        <f>IF(AND(R$3&lt;='Timeline tổng quan'!$F$32,R$3+6&gt;='Timeline tổng quan'!$E$32),"■","")</f>
        <v/>
      </c>
      <c r="S23" s="23" t="str">
        <f>IF(AND(S$3&lt;='Timeline tổng quan'!$F$32,S$3+6&gt;='Timeline tổng quan'!$E$32),"■","")</f>
        <v/>
      </c>
      <c r="T23" s="29" t="str">
        <f>IF(AND(T$3&lt;='Timeline tổng quan'!$F$32,T$3+6&gt;='Timeline tổng quan'!$E$32),"■","")</f>
        <v/>
      </c>
    </row>
    <row r="24" spans="1:20" ht="27" customHeight="1">
      <c r="A24" s="28">
        <f>'Timeline tổng quan'!A33</f>
        <v>21</v>
      </c>
      <c r="B24" s="2">
        <f>'Timeline tổng quan'!B33</f>
        <v>0</v>
      </c>
      <c r="C24" s="2" t="str">
        <f>'Timeline tổng quan'!C33</f>
        <v>Review chéo / nhận góp ý và chỉnh sửa</v>
      </c>
      <c r="D24" s="2" t="str">
        <f>'Timeline tổng quan'!H33</f>
        <v>Chưa bắt đầu</v>
      </c>
      <c r="E24" s="23" t="str">
        <f>IF(AND(E$3&lt;='Timeline tổng quan'!$F$33,E$3+6&gt;='Timeline tổng quan'!$E$33),"■","")</f>
        <v/>
      </c>
      <c r="F24" s="23" t="str">
        <f>IF(AND(F$3&lt;='Timeline tổng quan'!$F$33,F$3+6&gt;='Timeline tổng quan'!$E$33),"■","")</f>
        <v/>
      </c>
      <c r="G24" s="23" t="str">
        <f>IF(AND(G$3&lt;='Timeline tổng quan'!$F$33,G$3+6&gt;='Timeline tổng quan'!$E$33),"■","")</f>
        <v/>
      </c>
      <c r="H24" s="23" t="str">
        <f>IF(AND(H$3&lt;='Timeline tổng quan'!$F$33,H$3+6&gt;='Timeline tổng quan'!$E$33),"■","")</f>
        <v/>
      </c>
      <c r="I24" s="23" t="str">
        <f>IF(AND(I$3&lt;='Timeline tổng quan'!$F$33,I$3+6&gt;='Timeline tổng quan'!$E$33),"■","")</f>
        <v/>
      </c>
      <c r="J24" s="23" t="str">
        <f>IF(AND(J$3&lt;='Timeline tổng quan'!$F$33,J$3+6&gt;='Timeline tổng quan'!$E$33),"■","")</f>
        <v/>
      </c>
      <c r="K24" s="23" t="str">
        <f>IF(AND(K$3&lt;='Timeline tổng quan'!$F$33,K$3+6&gt;='Timeline tổng quan'!$E$33),"■","")</f>
        <v/>
      </c>
      <c r="L24" s="23" t="str">
        <f>IF(AND(L$3&lt;='Timeline tổng quan'!$F$33,L$3+6&gt;='Timeline tổng quan'!$E$33),"■","")</f>
        <v/>
      </c>
      <c r="M24" s="23" t="str">
        <f>IF(AND(M$3&lt;='Timeline tổng quan'!$F$33,M$3+6&gt;='Timeline tổng quan'!$E$33),"■","")</f>
        <v/>
      </c>
      <c r="N24" s="23" t="str">
        <f>IF(AND(N$3&lt;='Timeline tổng quan'!$F$33,N$3+6&gt;='Timeline tổng quan'!$E$33),"■","")</f>
        <v/>
      </c>
      <c r="O24" s="23" t="str">
        <f>IF(AND(O$3&lt;='Timeline tổng quan'!$F$33,O$3+6&gt;='Timeline tổng quan'!$E$33),"■","")</f>
        <v/>
      </c>
      <c r="P24" s="23" t="str">
        <f>IF(AND(P$3&lt;='Timeline tổng quan'!$F$33,P$3+6&gt;='Timeline tổng quan'!$E$33),"■","")</f>
        <v/>
      </c>
      <c r="Q24" s="23" t="str">
        <f>IF(AND(Q$3&lt;='Timeline tổng quan'!$F$33,Q$3+6&gt;='Timeline tổng quan'!$E$33),"■","")</f>
        <v>■</v>
      </c>
      <c r="R24" s="23" t="str">
        <f>IF(AND(R$3&lt;='Timeline tổng quan'!$F$33,R$3+6&gt;='Timeline tổng quan'!$E$33),"■","")</f>
        <v/>
      </c>
      <c r="S24" s="23" t="str">
        <f>IF(AND(S$3&lt;='Timeline tổng quan'!$F$33,S$3+6&gt;='Timeline tổng quan'!$E$33),"■","")</f>
        <v/>
      </c>
      <c r="T24" s="29" t="str">
        <f>IF(AND(T$3&lt;='Timeline tổng quan'!$F$33,T$3+6&gt;='Timeline tổng quan'!$E$33),"■","")</f>
        <v/>
      </c>
    </row>
    <row r="25" spans="1:20" ht="27" customHeight="1">
      <c r="A25" s="28">
        <f>'Timeline tổng quan'!A34</f>
        <v>22</v>
      </c>
      <c r="B25" s="2" t="str">
        <f>'Timeline tổng quan'!B34</f>
        <v>V. VIẾT &amp; HOÀN THIỆN BÁO CÁO</v>
      </c>
      <c r="C25" s="2" t="str">
        <f>'Timeline tổng quan'!C34</f>
        <v>Chốt BÁO CÁO SẠCH trước ≥ 2 tuần</v>
      </c>
      <c r="D25" s="2" t="str">
        <f>'Timeline tổng quan'!H34</f>
        <v>Chưa bắt đầu</v>
      </c>
      <c r="E25" s="23" t="str">
        <f>IF(AND(E$3&lt;='Timeline tổng quan'!$F$34,E$3+6&gt;='Timeline tổng quan'!$E$34),"■","")</f>
        <v/>
      </c>
      <c r="F25" s="23" t="str">
        <f>IF(AND(F$3&lt;='Timeline tổng quan'!$F$34,F$3+6&gt;='Timeline tổng quan'!$E$34),"■","")</f>
        <v/>
      </c>
      <c r="G25" s="23" t="str">
        <f>IF(AND(G$3&lt;='Timeline tổng quan'!$F$34,G$3+6&gt;='Timeline tổng quan'!$E$34),"■","")</f>
        <v/>
      </c>
      <c r="H25" s="23" t="str">
        <f>IF(AND(H$3&lt;='Timeline tổng quan'!$F$34,H$3+6&gt;='Timeline tổng quan'!$E$34),"■","")</f>
        <v/>
      </c>
      <c r="I25" s="23" t="str">
        <f>IF(AND(I$3&lt;='Timeline tổng quan'!$F$34,I$3+6&gt;='Timeline tổng quan'!$E$34),"■","")</f>
        <v/>
      </c>
      <c r="J25" s="23" t="str">
        <f>IF(AND(J$3&lt;='Timeline tổng quan'!$F$34,J$3+6&gt;='Timeline tổng quan'!$E$34),"■","")</f>
        <v/>
      </c>
      <c r="K25" s="23" t="str">
        <f>IF(AND(K$3&lt;='Timeline tổng quan'!$F$34,K$3+6&gt;='Timeline tổng quan'!$E$34),"■","")</f>
        <v/>
      </c>
      <c r="L25" s="23" t="str">
        <f>IF(AND(L$3&lt;='Timeline tổng quan'!$F$34,L$3+6&gt;='Timeline tổng quan'!$E$34),"■","")</f>
        <v/>
      </c>
      <c r="M25" s="23" t="str">
        <f>IF(AND(M$3&lt;='Timeline tổng quan'!$F$34,M$3+6&gt;='Timeline tổng quan'!$E$34),"■","")</f>
        <v/>
      </c>
      <c r="N25" s="23" t="str">
        <f>IF(AND(N$3&lt;='Timeline tổng quan'!$F$34,N$3+6&gt;='Timeline tổng quan'!$E$34),"■","")</f>
        <v/>
      </c>
      <c r="O25" s="23" t="str">
        <f>IF(AND(O$3&lt;='Timeline tổng quan'!$F$34,O$3+6&gt;='Timeline tổng quan'!$E$34),"■","")</f>
        <v/>
      </c>
      <c r="P25" s="23" t="str">
        <f>IF(AND(P$3&lt;='Timeline tổng quan'!$F$34,P$3+6&gt;='Timeline tổng quan'!$E$34),"■","")</f>
        <v/>
      </c>
      <c r="Q25" s="23" t="str">
        <f>IF(AND(Q$3&lt;='Timeline tổng quan'!$F$34,Q$3+6&gt;='Timeline tổng quan'!$E$34),"■","")</f>
        <v>■</v>
      </c>
      <c r="R25" s="23" t="str">
        <f>IF(AND(R$3&lt;='Timeline tổng quan'!$F$34,R$3+6&gt;='Timeline tổng quan'!$E$34),"■","")</f>
        <v/>
      </c>
      <c r="S25" s="23" t="str">
        <f>IF(AND(S$3&lt;='Timeline tổng quan'!$F$34,S$3+6&gt;='Timeline tổng quan'!$E$34),"■","")</f>
        <v/>
      </c>
      <c r="T25" s="29" t="str">
        <f>IF(AND(T$3&lt;='Timeline tổng quan'!$F$34,T$3+6&gt;='Timeline tổng quan'!$E$34),"■","")</f>
        <v/>
      </c>
    </row>
    <row r="26" spans="1:20" ht="27" customHeight="1">
      <c r="A26" s="28">
        <f>'Timeline tổng quan'!A35</f>
        <v>23</v>
      </c>
      <c r="B26" s="2" t="str">
        <f>'Timeline tổng quan'!B35</f>
        <v>VI. ĐÓNG GÓI, TRÌNH BÀY &amp; DỰ PHÒNG</v>
      </c>
      <c r="C26" s="2" t="str">
        <f>'Timeline tổng quan'!C35</f>
        <v>Chuẩn bị slide / poster / demo</v>
      </c>
      <c r="D26" s="2" t="str">
        <f>'Timeline tổng quan'!H35</f>
        <v>Chưa bắt đầu</v>
      </c>
      <c r="E26" s="23" t="str">
        <f>IF(AND(E$3&lt;='Timeline tổng quan'!$F$35,E$3+6&gt;='Timeline tổng quan'!$E$35),"■","")</f>
        <v/>
      </c>
      <c r="F26" s="23" t="str">
        <f>IF(AND(F$3&lt;='Timeline tổng quan'!$F$35,F$3+6&gt;='Timeline tổng quan'!$E$35),"■","")</f>
        <v/>
      </c>
      <c r="G26" s="23" t="str">
        <f>IF(AND(G$3&lt;='Timeline tổng quan'!$F$35,G$3+6&gt;='Timeline tổng quan'!$E$35),"■","")</f>
        <v/>
      </c>
      <c r="H26" s="23" t="str">
        <f>IF(AND(H$3&lt;='Timeline tổng quan'!$F$35,H$3+6&gt;='Timeline tổng quan'!$E$35),"■","")</f>
        <v/>
      </c>
      <c r="I26" s="23" t="str">
        <f>IF(AND(I$3&lt;='Timeline tổng quan'!$F$35,I$3+6&gt;='Timeline tổng quan'!$E$35),"■","")</f>
        <v/>
      </c>
      <c r="J26" s="23" t="str">
        <f>IF(AND(J$3&lt;='Timeline tổng quan'!$F$35,J$3+6&gt;='Timeline tổng quan'!$E$35),"■","")</f>
        <v/>
      </c>
      <c r="K26" s="23" t="str">
        <f>IF(AND(K$3&lt;='Timeline tổng quan'!$F$35,K$3+6&gt;='Timeline tổng quan'!$E$35),"■","")</f>
        <v/>
      </c>
      <c r="L26" s="23" t="str">
        <f>IF(AND(L$3&lt;='Timeline tổng quan'!$F$35,L$3+6&gt;='Timeline tổng quan'!$E$35),"■","")</f>
        <v/>
      </c>
      <c r="M26" s="23" t="str">
        <f>IF(AND(M$3&lt;='Timeline tổng quan'!$F$35,M$3+6&gt;='Timeline tổng quan'!$E$35),"■","")</f>
        <v/>
      </c>
      <c r="N26" s="23" t="str">
        <f>IF(AND(N$3&lt;='Timeline tổng quan'!$F$35,N$3+6&gt;='Timeline tổng quan'!$E$35),"■","")</f>
        <v/>
      </c>
      <c r="O26" s="23" t="str">
        <f>IF(AND(O$3&lt;='Timeline tổng quan'!$F$35,O$3+6&gt;='Timeline tổng quan'!$E$35),"■","")</f>
        <v/>
      </c>
      <c r="P26" s="23" t="str">
        <f>IF(AND(P$3&lt;='Timeline tổng quan'!$F$35,P$3+6&gt;='Timeline tổng quan'!$E$35),"■","")</f>
        <v/>
      </c>
      <c r="Q26" s="23" t="str">
        <f>IF(AND(Q$3&lt;='Timeline tổng quan'!$F$35,Q$3+6&gt;='Timeline tổng quan'!$E$35),"■","")</f>
        <v/>
      </c>
      <c r="R26" s="23" t="str">
        <f>IF(AND(R$3&lt;='Timeline tổng quan'!$F$35,R$3+6&gt;='Timeline tổng quan'!$E$35),"■","")</f>
        <v>■</v>
      </c>
      <c r="S26" s="23" t="str">
        <f>IF(AND(S$3&lt;='Timeline tổng quan'!$F$35,S$3+6&gt;='Timeline tổng quan'!$E$35),"■","")</f>
        <v/>
      </c>
      <c r="T26" s="29" t="str">
        <f>IF(AND(T$3&lt;='Timeline tổng quan'!$F$35,T$3+6&gt;='Timeline tổng quan'!$E$35),"■","")</f>
        <v/>
      </c>
    </row>
    <row r="27" spans="1:20" ht="27" customHeight="1">
      <c r="A27" s="28">
        <f>'Timeline tổng quan'!A36</f>
        <v>24</v>
      </c>
      <c r="B27" s="2">
        <f>'Timeline tổng quan'!B36</f>
        <v>0</v>
      </c>
      <c r="C27" s="2" t="str">
        <f>'Timeline tổng quan'!C36</f>
        <v>Đóng gói source code, dữ liệu và phụ lục</v>
      </c>
      <c r="D27" s="2" t="str">
        <f>'Timeline tổng quan'!H36</f>
        <v>Chưa bắt đầu</v>
      </c>
      <c r="E27" s="23" t="str">
        <f>IF(AND(E$3&lt;='Timeline tổng quan'!$F$36,E$3+6&gt;='Timeline tổng quan'!$E$36),"■","")</f>
        <v/>
      </c>
      <c r="F27" s="23" t="str">
        <f>IF(AND(F$3&lt;='Timeline tổng quan'!$F$36,F$3+6&gt;='Timeline tổng quan'!$E$36),"■","")</f>
        <v/>
      </c>
      <c r="G27" s="23" t="str">
        <f>IF(AND(G$3&lt;='Timeline tổng quan'!$F$36,G$3+6&gt;='Timeline tổng quan'!$E$36),"■","")</f>
        <v/>
      </c>
      <c r="H27" s="23" t="str">
        <f>IF(AND(H$3&lt;='Timeline tổng quan'!$F$36,H$3+6&gt;='Timeline tổng quan'!$E$36),"■","")</f>
        <v/>
      </c>
      <c r="I27" s="23" t="str">
        <f>IF(AND(I$3&lt;='Timeline tổng quan'!$F$36,I$3+6&gt;='Timeline tổng quan'!$E$36),"■","")</f>
        <v/>
      </c>
      <c r="J27" s="23" t="str">
        <f>IF(AND(J$3&lt;='Timeline tổng quan'!$F$36,J$3+6&gt;='Timeline tổng quan'!$E$36),"■","")</f>
        <v/>
      </c>
      <c r="K27" s="23" t="str">
        <f>IF(AND(K$3&lt;='Timeline tổng quan'!$F$36,K$3+6&gt;='Timeline tổng quan'!$E$36),"■","")</f>
        <v/>
      </c>
      <c r="L27" s="23" t="str">
        <f>IF(AND(L$3&lt;='Timeline tổng quan'!$F$36,L$3+6&gt;='Timeline tổng quan'!$E$36),"■","")</f>
        <v/>
      </c>
      <c r="M27" s="23" t="str">
        <f>IF(AND(M$3&lt;='Timeline tổng quan'!$F$36,M$3+6&gt;='Timeline tổng quan'!$E$36),"■","")</f>
        <v/>
      </c>
      <c r="N27" s="23" t="str">
        <f>IF(AND(N$3&lt;='Timeline tổng quan'!$F$36,N$3+6&gt;='Timeline tổng quan'!$E$36),"■","")</f>
        <v/>
      </c>
      <c r="O27" s="23" t="str">
        <f>IF(AND(O$3&lt;='Timeline tổng quan'!$F$36,O$3+6&gt;='Timeline tổng quan'!$E$36),"■","")</f>
        <v/>
      </c>
      <c r="P27" s="23" t="str">
        <f>IF(AND(P$3&lt;='Timeline tổng quan'!$F$36,P$3+6&gt;='Timeline tổng quan'!$E$36),"■","")</f>
        <v/>
      </c>
      <c r="Q27" s="23" t="str">
        <f>IF(AND(Q$3&lt;='Timeline tổng quan'!$F$36,Q$3+6&gt;='Timeline tổng quan'!$E$36),"■","")</f>
        <v/>
      </c>
      <c r="R27" s="23" t="str">
        <f>IF(AND(R$3&lt;='Timeline tổng quan'!$F$36,R$3+6&gt;='Timeline tổng quan'!$E$36),"■","")</f>
        <v>■</v>
      </c>
      <c r="S27" s="23" t="str">
        <f>IF(AND(S$3&lt;='Timeline tổng quan'!$F$36,S$3+6&gt;='Timeline tổng quan'!$E$36),"■","")</f>
        <v>■</v>
      </c>
      <c r="T27" s="29" t="str">
        <f>IF(AND(T$3&lt;='Timeline tổng quan'!$F$36,T$3+6&gt;='Timeline tổng quan'!$E$36),"■","")</f>
        <v/>
      </c>
    </row>
    <row r="28" spans="1:20" ht="27" customHeight="1">
      <c r="A28" s="28">
        <f>'Timeline tổng quan'!A37</f>
        <v>25</v>
      </c>
      <c r="B28" s="2">
        <f>'Timeline tổng quan'!B37</f>
        <v>0</v>
      </c>
      <c r="C28" s="2" t="str">
        <f>'Timeline tổng quan'!C37</f>
        <v>Tập thuyết trình và chuẩn bị câu hỏi phản biện</v>
      </c>
      <c r="D28" s="2" t="str">
        <f>'Timeline tổng quan'!H37</f>
        <v>Chưa bắt đầu</v>
      </c>
      <c r="E28" s="23" t="str">
        <f>IF(AND(E$3&lt;='Timeline tổng quan'!$F$37,E$3+6&gt;='Timeline tổng quan'!$E$37),"■","")</f>
        <v/>
      </c>
      <c r="F28" s="23" t="str">
        <f>IF(AND(F$3&lt;='Timeline tổng quan'!$F$37,F$3+6&gt;='Timeline tổng quan'!$E$37),"■","")</f>
        <v/>
      </c>
      <c r="G28" s="23" t="str">
        <f>IF(AND(G$3&lt;='Timeline tổng quan'!$F$37,G$3+6&gt;='Timeline tổng quan'!$E$37),"■","")</f>
        <v/>
      </c>
      <c r="H28" s="23" t="str">
        <f>IF(AND(H$3&lt;='Timeline tổng quan'!$F$37,H$3+6&gt;='Timeline tổng quan'!$E$37),"■","")</f>
        <v/>
      </c>
      <c r="I28" s="23" t="str">
        <f>IF(AND(I$3&lt;='Timeline tổng quan'!$F$37,I$3+6&gt;='Timeline tổng quan'!$E$37),"■","")</f>
        <v/>
      </c>
      <c r="J28" s="23" t="str">
        <f>IF(AND(J$3&lt;='Timeline tổng quan'!$F$37,J$3+6&gt;='Timeline tổng quan'!$E$37),"■","")</f>
        <v/>
      </c>
      <c r="K28" s="23" t="str">
        <f>IF(AND(K$3&lt;='Timeline tổng quan'!$F$37,K$3+6&gt;='Timeline tổng quan'!$E$37),"■","")</f>
        <v/>
      </c>
      <c r="L28" s="23" t="str">
        <f>IF(AND(L$3&lt;='Timeline tổng quan'!$F$37,L$3+6&gt;='Timeline tổng quan'!$E$37),"■","")</f>
        <v/>
      </c>
      <c r="M28" s="23" t="str">
        <f>IF(AND(M$3&lt;='Timeline tổng quan'!$F$37,M$3+6&gt;='Timeline tổng quan'!$E$37),"■","")</f>
        <v/>
      </c>
      <c r="N28" s="23" t="str">
        <f>IF(AND(N$3&lt;='Timeline tổng quan'!$F$37,N$3+6&gt;='Timeline tổng quan'!$E$37),"■","")</f>
        <v/>
      </c>
      <c r="O28" s="23" t="str">
        <f>IF(AND(O$3&lt;='Timeline tổng quan'!$F$37,O$3+6&gt;='Timeline tổng quan'!$E$37),"■","")</f>
        <v/>
      </c>
      <c r="P28" s="23" t="str">
        <f>IF(AND(P$3&lt;='Timeline tổng quan'!$F$37,P$3+6&gt;='Timeline tổng quan'!$E$37),"■","")</f>
        <v/>
      </c>
      <c r="Q28" s="23" t="str">
        <f>IF(AND(Q$3&lt;='Timeline tổng quan'!$F$37,Q$3+6&gt;='Timeline tổng quan'!$E$37),"■","")</f>
        <v/>
      </c>
      <c r="R28" s="23" t="str">
        <f>IF(AND(R$3&lt;='Timeline tổng quan'!$F$37,R$3+6&gt;='Timeline tổng quan'!$E$37),"■","")</f>
        <v/>
      </c>
      <c r="S28" s="23" t="str">
        <f>IF(AND(S$3&lt;='Timeline tổng quan'!$F$37,S$3+6&gt;='Timeline tổng quan'!$E$37),"■","")</f>
        <v>■</v>
      </c>
      <c r="T28" s="29" t="str">
        <f>IF(AND(T$3&lt;='Timeline tổng quan'!$F$37,T$3+6&gt;='Timeline tổng quan'!$E$37),"■","")</f>
        <v/>
      </c>
    </row>
    <row r="29" spans="1:20" ht="27" customHeight="1">
      <c r="A29" s="28">
        <f>'Timeline tổng quan'!A38</f>
        <v>26</v>
      </c>
      <c r="B29" s="2">
        <f>'Timeline tổng quan'!B38</f>
        <v>0</v>
      </c>
      <c r="C29" s="2" t="str">
        <f>'Timeline tổng quan'!C38</f>
        <v>Kiểm tra cuối và giữ buffer xử lý sự cố</v>
      </c>
      <c r="D29" s="2" t="str">
        <f>'Timeline tổng quan'!H38</f>
        <v>Chưa bắt đầu</v>
      </c>
      <c r="E29" s="23" t="str">
        <f>IF(AND(E$3&lt;='Timeline tổng quan'!$F$38,E$3+6&gt;='Timeline tổng quan'!$E$38),"■","")</f>
        <v/>
      </c>
      <c r="F29" s="23" t="str">
        <f>IF(AND(F$3&lt;='Timeline tổng quan'!$F$38,F$3+6&gt;='Timeline tổng quan'!$E$38),"■","")</f>
        <v/>
      </c>
      <c r="G29" s="23" t="str">
        <f>IF(AND(G$3&lt;='Timeline tổng quan'!$F$38,G$3+6&gt;='Timeline tổng quan'!$E$38),"■","")</f>
        <v/>
      </c>
      <c r="H29" s="23" t="str">
        <f>IF(AND(H$3&lt;='Timeline tổng quan'!$F$38,H$3+6&gt;='Timeline tổng quan'!$E$38),"■","")</f>
        <v/>
      </c>
      <c r="I29" s="23" t="str">
        <f>IF(AND(I$3&lt;='Timeline tổng quan'!$F$38,I$3+6&gt;='Timeline tổng quan'!$E$38),"■","")</f>
        <v/>
      </c>
      <c r="J29" s="23" t="str">
        <f>IF(AND(J$3&lt;='Timeline tổng quan'!$F$38,J$3+6&gt;='Timeline tổng quan'!$E$38),"■","")</f>
        <v/>
      </c>
      <c r="K29" s="23" t="str">
        <f>IF(AND(K$3&lt;='Timeline tổng quan'!$F$38,K$3+6&gt;='Timeline tổng quan'!$E$38),"■","")</f>
        <v/>
      </c>
      <c r="L29" s="23" t="str">
        <f>IF(AND(L$3&lt;='Timeline tổng quan'!$F$38,L$3+6&gt;='Timeline tổng quan'!$E$38),"■","")</f>
        <v/>
      </c>
      <c r="M29" s="23" t="str">
        <f>IF(AND(M$3&lt;='Timeline tổng quan'!$F$38,M$3+6&gt;='Timeline tổng quan'!$E$38),"■","")</f>
        <v/>
      </c>
      <c r="N29" s="23" t="str">
        <f>IF(AND(N$3&lt;='Timeline tổng quan'!$F$38,N$3+6&gt;='Timeline tổng quan'!$E$38),"■","")</f>
        <v/>
      </c>
      <c r="O29" s="23" t="str">
        <f>IF(AND(O$3&lt;='Timeline tổng quan'!$F$38,O$3+6&gt;='Timeline tổng quan'!$E$38),"■","")</f>
        <v/>
      </c>
      <c r="P29" s="23" t="str">
        <f>IF(AND(P$3&lt;='Timeline tổng quan'!$F$38,P$3+6&gt;='Timeline tổng quan'!$E$38),"■","")</f>
        <v/>
      </c>
      <c r="Q29" s="23" t="str">
        <f>IF(AND(Q$3&lt;='Timeline tổng quan'!$F$38,Q$3+6&gt;='Timeline tổng quan'!$E$38),"■","")</f>
        <v/>
      </c>
      <c r="R29" s="23" t="str">
        <f>IF(AND(R$3&lt;='Timeline tổng quan'!$F$38,R$3+6&gt;='Timeline tổng quan'!$E$38),"■","")</f>
        <v/>
      </c>
      <c r="S29" s="23" t="str">
        <f>IF(AND(S$3&lt;='Timeline tổng quan'!$F$38,S$3+6&gt;='Timeline tổng quan'!$E$38),"■","")</f>
        <v>■</v>
      </c>
      <c r="T29" s="29" t="str">
        <f>IF(AND(T$3&lt;='Timeline tổng quan'!$F$38,T$3+6&gt;='Timeline tổng quan'!$E$38),"■","")</f>
        <v/>
      </c>
    </row>
    <row r="30" spans="1:20" ht="27" customHeight="1">
      <c r="A30" s="30">
        <f>'Timeline tổng quan'!A39</f>
        <v>27</v>
      </c>
      <c r="B30" s="31" t="str">
        <f>'Timeline tổng quan'!B39</f>
        <v>VI. ĐÓNG GÓI, TRÌNH BÀY &amp; DỰ PHÒNG</v>
      </c>
      <c r="C30" s="31" t="str">
        <f>'Timeline tổng quan'!C39</f>
        <v>Nộp / bảo vệ / trình bày theo deadline</v>
      </c>
      <c r="D30" s="31" t="str">
        <f>'Timeline tổng quan'!H39</f>
        <v>Chưa bắt đầu</v>
      </c>
      <c r="E30" s="32" t="str">
        <f>IF(AND(E$3&lt;='Timeline tổng quan'!$F$39,E$3+6&gt;='Timeline tổng quan'!$E$39),"■","")</f>
        <v/>
      </c>
      <c r="F30" s="32" t="str">
        <f>IF(AND(F$3&lt;='Timeline tổng quan'!$F$39,F$3+6&gt;='Timeline tổng quan'!$E$39),"■","")</f>
        <v/>
      </c>
      <c r="G30" s="32" t="str">
        <f>IF(AND(G$3&lt;='Timeline tổng quan'!$F$39,G$3+6&gt;='Timeline tổng quan'!$E$39),"■","")</f>
        <v/>
      </c>
      <c r="H30" s="32" t="str">
        <f>IF(AND(H$3&lt;='Timeline tổng quan'!$F$39,H$3+6&gt;='Timeline tổng quan'!$E$39),"■","")</f>
        <v/>
      </c>
      <c r="I30" s="32" t="str">
        <f>IF(AND(I$3&lt;='Timeline tổng quan'!$F$39,I$3+6&gt;='Timeline tổng quan'!$E$39),"■","")</f>
        <v/>
      </c>
      <c r="J30" s="32" t="str">
        <f>IF(AND(J$3&lt;='Timeline tổng quan'!$F$39,J$3+6&gt;='Timeline tổng quan'!$E$39),"■","")</f>
        <v/>
      </c>
      <c r="K30" s="32" t="str">
        <f>IF(AND(K$3&lt;='Timeline tổng quan'!$F$39,K$3+6&gt;='Timeline tổng quan'!$E$39),"■","")</f>
        <v/>
      </c>
      <c r="L30" s="32" t="str">
        <f>IF(AND(L$3&lt;='Timeline tổng quan'!$F$39,L$3+6&gt;='Timeline tổng quan'!$E$39),"■","")</f>
        <v/>
      </c>
      <c r="M30" s="32" t="str">
        <f>IF(AND(M$3&lt;='Timeline tổng quan'!$F$39,M$3+6&gt;='Timeline tổng quan'!$E$39),"■","")</f>
        <v/>
      </c>
      <c r="N30" s="32" t="str">
        <f>IF(AND(N$3&lt;='Timeline tổng quan'!$F$39,N$3+6&gt;='Timeline tổng quan'!$E$39),"■","")</f>
        <v/>
      </c>
      <c r="O30" s="32" t="str">
        <f>IF(AND(O$3&lt;='Timeline tổng quan'!$F$39,O$3+6&gt;='Timeline tổng quan'!$E$39),"■","")</f>
        <v/>
      </c>
      <c r="P30" s="32" t="str">
        <f>IF(AND(P$3&lt;='Timeline tổng quan'!$F$39,P$3+6&gt;='Timeline tổng quan'!$E$39),"■","")</f>
        <v/>
      </c>
      <c r="Q30" s="32" t="str">
        <f>IF(AND(Q$3&lt;='Timeline tổng quan'!$F$39,Q$3+6&gt;='Timeline tổng quan'!$E$39),"■","")</f>
        <v/>
      </c>
      <c r="R30" s="32" t="str">
        <f>IF(AND(R$3&lt;='Timeline tổng quan'!$F$39,R$3+6&gt;='Timeline tổng quan'!$E$39),"■","")</f>
        <v/>
      </c>
      <c r="S30" s="32" t="str">
        <f>IF(AND(S$3&lt;='Timeline tổng quan'!$F$39,S$3+6&gt;='Timeline tổng quan'!$E$39),"■","")</f>
        <v/>
      </c>
      <c r="T30" s="33" t="str">
        <f>IF(AND(T$3&lt;='Timeline tổng quan'!$F$39,T$3+6&gt;='Timeline tổng quan'!$E$39),"■","")</f>
        <v>■</v>
      </c>
    </row>
    <row r="33" spans="1:4" ht="13.9" customHeight="1">
      <c r="A33" s="69" t="s">
        <v>192</v>
      </c>
      <c r="B33" s="70"/>
      <c r="C33" s="70"/>
      <c r="D33" s="70"/>
    </row>
    <row r="34" spans="1:4" ht="27" customHeight="1">
      <c r="A34" s="1" t="s">
        <v>193</v>
      </c>
      <c r="B34" s="1" t="s">
        <v>194</v>
      </c>
      <c r="C34" s="1"/>
      <c r="D34" s="1"/>
    </row>
    <row r="35" spans="1:4" ht="54" customHeight="1">
      <c r="A35" s="1" t="s">
        <v>19</v>
      </c>
      <c r="B35" s="1" t="s">
        <v>183</v>
      </c>
      <c r="C35" s="1" t="s">
        <v>195</v>
      </c>
      <c r="D35" s="1"/>
    </row>
    <row r="36" spans="1:4" ht="27" customHeight="1">
      <c r="A36" s="1" t="s">
        <v>196</v>
      </c>
      <c r="B36" s="1" t="s">
        <v>197</v>
      </c>
      <c r="C36" s="1" t="s">
        <v>198</v>
      </c>
      <c r="D36" s="1"/>
    </row>
  </sheetData>
  <mergeCells count="2">
    <mergeCell ref="A1:T1"/>
    <mergeCell ref="A33:D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Người dùng Khách</cp:lastModifiedBy>
  <cp:revision/>
  <dcterms:created xsi:type="dcterms:W3CDTF">2026-08-12T13:43:05Z</dcterms:created>
  <dcterms:modified xsi:type="dcterms:W3CDTF">2026-08-23T05:04:17Z</dcterms:modified>
  <cp:category/>
  <cp:contentStatus/>
</cp:coreProperties>
</file>