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D:\working\waccache\SG2PEPF0001F0D5\EXCELCNV\a42cd50d-5d93-4240-b3ca-431a7ea86b4c\"/>
    </mc:Choice>
  </mc:AlternateContent>
  <xr:revisionPtr revIDLastSave="595" documentId="8_{3837D824-0D62-4C5D-B3CC-4C7A2337EB89}" xr6:coauthVersionLast="47" xr6:coauthVersionMax="47" xr10:uidLastSave="{AA4653E3-432D-474B-A258-EBF078D76D55}"/>
  <bookViews>
    <workbookView xWindow="-60" yWindow="-60" windowWidth="15480" windowHeight="11640" firstSheet="6" xr2:uid="{00000000-000D-0000-FFFF-FFFF00000000}"/>
  </bookViews>
  <sheets>
    <sheet name="Dashboard_TongQuan" sheetId="1" r:id="rId1"/>
    <sheet name="Khung_KeHoach_Chuan" sheetId="3" state="hidden" r:id="rId2"/>
    <sheet name="Nhom_01" sheetId="4" r:id="rId3"/>
    <sheet name="Nhom_02" sheetId="5" r:id="rId4"/>
    <sheet name="Nhom_03" sheetId="6" r:id="rId5"/>
    <sheet name="Nhom_04" sheetId="7" r:id="rId6"/>
    <sheet name="Nhom_05" sheetId="8" r:id="rId7"/>
    <sheet name="Nhom_06" sheetId="9" state="hidden" r:id="rId8"/>
    <sheet name="Nhom_07" sheetId="10" r:id="rId9"/>
    <sheet name="Nhom_08" sheetId="11" state="hidden" r:id="rId10"/>
    <sheet name="Nhom_09" sheetId="12" r:id="rId11"/>
    <sheet name="Nhom_10" sheetId="13"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94fih4ya1GlpX17EQT6wJZRmax0cjaNtxVVlgiqQgzw="/>
    </ext>
  </extLst>
</workbook>
</file>

<file path=xl/calcChain.xml><?xml version="1.0" encoding="utf-8"?>
<calcChain xmlns="http://schemas.openxmlformats.org/spreadsheetml/2006/main">
  <c r="C37" i="10" l="1"/>
  <c r="C25" i="10"/>
  <c r="C27" i="10"/>
  <c r="C62" i="10"/>
  <c r="D63" i="10"/>
  <c r="D37" i="5"/>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16" i="11"/>
  <c r="C24" i="4"/>
  <c r="G21" i="13"/>
  <c r="H23" i="13"/>
  <c r="F24" i="13"/>
  <c r="G24" i="13"/>
  <c r="F27" i="13"/>
  <c r="G27" i="13"/>
  <c r="H27" i="13"/>
  <c r="F28" i="13"/>
  <c r="H28" i="13"/>
  <c r="F29" i="13"/>
  <c r="F32" i="13"/>
  <c r="H36" i="13"/>
  <c r="G37" i="13"/>
  <c r="H37" i="13"/>
  <c r="F38" i="13"/>
  <c r="G38" i="13"/>
  <c r="H38" i="13"/>
  <c r="H39" i="13"/>
  <c r="F40" i="13"/>
  <c r="G40" i="13"/>
  <c r="C18" i="13"/>
  <c r="D20" i="13"/>
  <c r="B21" i="13"/>
  <c r="C21" i="13"/>
  <c r="D21" i="13"/>
  <c r="B22" i="13"/>
  <c r="D24" i="13"/>
  <c r="B25" i="13"/>
  <c r="B26" i="13"/>
  <c r="C26" i="13"/>
  <c r="D29" i="13"/>
  <c r="D33" i="13"/>
  <c r="B34" i="13"/>
  <c r="C34" i="13"/>
  <c r="B35" i="13"/>
  <c r="C35" i="13"/>
  <c r="C36" i="13"/>
  <c r="D36" i="13"/>
  <c r="B37" i="13"/>
  <c r="C37" i="13"/>
  <c r="B42" i="13"/>
  <c r="L4" i="13"/>
  <c r="L4" i="12"/>
  <c r="F16" i="11"/>
  <c r="G16" i="11"/>
  <c r="H16" i="11"/>
  <c r="F17" i="11"/>
  <c r="G17" i="11"/>
  <c r="H17" i="11"/>
  <c r="H18" i="11"/>
  <c r="F19" i="11"/>
  <c r="G19" i="11"/>
  <c r="H19" i="11"/>
  <c r="F20" i="11"/>
  <c r="G20" i="11"/>
  <c r="H20" i="11"/>
  <c r="G21" i="11"/>
  <c r="H21" i="11"/>
  <c r="F22" i="11"/>
  <c r="G22" i="11"/>
  <c r="H22" i="11"/>
  <c r="F23" i="11"/>
  <c r="G23" i="11"/>
  <c r="H23" i="11"/>
  <c r="F24" i="11"/>
  <c r="G24" i="11"/>
  <c r="G25" i="11"/>
  <c r="H25" i="11"/>
  <c r="F26" i="11"/>
  <c r="G26" i="11"/>
  <c r="H26" i="11"/>
  <c r="F27" i="11"/>
  <c r="G27" i="11"/>
  <c r="F28" i="11"/>
  <c r="G28" i="11"/>
  <c r="H28" i="11"/>
  <c r="F29" i="11"/>
  <c r="G29" i="11"/>
  <c r="H29" i="11"/>
  <c r="F30" i="11"/>
  <c r="G30" i="11"/>
  <c r="H30" i="11"/>
  <c r="F31" i="11"/>
  <c r="F32" i="11"/>
  <c r="G32" i="11"/>
  <c r="H32" i="11"/>
  <c r="F33" i="11"/>
  <c r="G33" i="11"/>
  <c r="H33" i="11"/>
  <c r="F34" i="11"/>
  <c r="H34" i="11"/>
  <c r="F35" i="11"/>
  <c r="G35" i="11"/>
  <c r="H35" i="11"/>
  <c r="F36" i="11"/>
  <c r="G36" i="11"/>
  <c r="H36" i="11"/>
  <c r="F37" i="11"/>
  <c r="G37" i="11"/>
  <c r="H37" i="11"/>
  <c r="H38" i="11"/>
  <c r="F39" i="11"/>
  <c r="G39" i="11"/>
  <c r="H39" i="11"/>
  <c r="F40" i="11"/>
  <c r="G40" i="11"/>
  <c r="H40" i="11"/>
  <c r="G41" i="11"/>
  <c r="H41" i="11"/>
  <c r="F42" i="11"/>
  <c r="G42" i="11"/>
  <c r="H42" i="11"/>
  <c r="B16" i="11"/>
  <c r="C16" i="11"/>
  <c r="B17" i="11"/>
  <c r="C17" i="11"/>
  <c r="C18" i="11"/>
  <c r="B19" i="11"/>
  <c r="C19" i="11"/>
  <c r="B20" i="11"/>
  <c r="C20" i="11"/>
  <c r="B21" i="11"/>
  <c r="C21" i="11"/>
  <c r="B22" i="11"/>
  <c r="C22" i="11"/>
  <c r="B23" i="11"/>
  <c r="C23" i="11"/>
  <c r="B24" i="11"/>
  <c r="B25" i="11"/>
  <c r="C25" i="11"/>
  <c r="B26" i="11"/>
  <c r="C26" i="11"/>
  <c r="B27" i="11"/>
  <c r="B28" i="11"/>
  <c r="C28" i="11"/>
  <c r="B29" i="11"/>
  <c r="C29" i="11"/>
  <c r="B30" i="11"/>
  <c r="C30" i="11"/>
  <c r="B32" i="11"/>
  <c r="C32" i="11"/>
  <c r="B33" i="11"/>
  <c r="C33" i="11"/>
  <c r="C34" i="11"/>
  <c r="B35" i="11"/>
  <c r="C35" i="11"/>
  <c r="B36" i="11"/>
  <c r="C36" i="11"/>
  <c r="B37" i="11"/>
  <c r="C37" i="11"/>
  <c r="C38" i="11"/>
  <c r="B39" i="11"/>
  <c r="C39" i="11"/>
  <c r="B40" i="11"/>
  <c r="C40" i="11"/>
  <c r="B41" i="11"/>
  <c r="C41" i="11"/>
  <c r="B42" i="11"/>
  <c r="C42" i="11"/>
  <c r="G9" i="11"/>
  <c r="G8" i="11"/>
  <c r="C9" i="11"/>
  <c r="C8" i="11"/>
  <c r="L4" i="11"/>
  <c r="F18" i="11" s="1"/>
  <c r="L4" i="10"/>
  <c r="F16" i="9"/>
  <c r="H16" i="9"/>
  <c r="F17" i="9"/>
  <c r="F18" i="9"/>
  <c r="G18" i="9"/>
  <c r="H18" i="9"/>
  <c r="F19" i="9"/>
  <c r="H21" i="9"/>
  <c r="F22" i="9"/>
  <c r="G22" i="9"/>
  <c r="H22" i="9"/>
  <c r="H23" i="9"/>
  <c r="F24" i="9"/>
  <c r="F26" i="9"/>
  <c r="G26" i="9"/>
  <c r="G27" i="9"/>
  <c r="G30" i="9"/>
  <c r="H30" i="9"/>
  <c r="G31" i="9"/>
  <c r="H31" i="9"/>
  <c r="F32" i="9"/>
  <c r="G32" i="9"/>
  <c r="H32" i="9"/>
  <c r="F33" i="9"/>
  <c r="F34" i="9"/>
  <c r="G34" i="9"/>
  <c r="G38" i="9"/>
  <c r="F39" i="9"/>
  <c r="G39" i="9"/>
  <c r="F41" i="9"/>
  <c r="G41" i="9"/>
  <c r="H41" i="9"/>
  <c r="F42" i="9"/>
  <c r="G42" i="9"/>
  <c r="H42" i="9"/>
  <c r="B18" i="9"/>
  <c r="C18" i="9"/>
  <c r="D18" i="9"/>
  <c r="B19" i="9"/>
  <c r="B22" i="9"/>
  <c r="C22" i="9"/>
  <c r="B23" i="9"/>
  <c r="D25" i="9"/>
  <c r="B26" i="9"/>
  <c r="B27" i="9"/>
  <c r="C27" i="9"/>
  <c r="B28" i="9"/>
  <c r="C28" i="9"/>
  <c r="D28" i="9"/>
  <c r="B29" i="9"/>
  <c r="D29" i="9"/>
  <c r="B30" i="9"/>
  <c r="C34" i="9"/>
  <c r="D34" i="9"/>
  <c r="B35" i="9"/>
  <c r="D36" i="9"/>
  <c r="B37" i="9"/>
  <c r="C37" i="9"/>
  <c r="D37" i="9"/>
  <c r="B38" i="9"/>
  <c r="C38" i="9"/>
  <c r="D38" i="9"/>
  <c r="B39" i="9"/>
  <c r="D41" i="9"/>
  <c r="B42" i="9"/>
  <c r="L4" i="9"/>
  <c r="H37" i="9" s="1"/>
  <c r="F16" i="8"/>
  <c r="G16" i="8"/>
  <c r="H16" i="8"/>
  <c r="F17" i="8"/>
  <c r="G17" i="8"/>
  <c r="G18" i="8"/>
  <c r="H18" i="8"/>
  <c r="F19" i="8"/>
  <c r="G19" i="8"/>
  <c r="H19" i="8"/>
  <c r="F20" i="8"/>
  <c r="G20" i="8"/>
  <c r="F21" i="8"/>
  <c r="G21" i="8"/>
  <c r="H21" i="8"/>
  <c r="F22" i="8"/>
  <c r="G22" i="8"/>
  <c r="H22" i="8"/>
  <c r="F23" i="8"/>
  <c r="G23" i="8"/>
  <c r="H23" i="8"/>
  <c r="F24" i="8"/>
  <c r="F25" i="8"/>
  <c r="G25" i="8"/>
  <c r="H25" i="8"/>
  <c r="F26" i="8"/>
  <c r="G26" i="8"/>
  <c r="H26" i="8"/>
  <c r="F27" i="8"/>
  <c r="H27" i="8"/>
  <c r="F28" i="8"/>
  <c r="G28" i="8"/>
  <c r="H28" i="8"/>
  <c r="F29" i="8"/>
  <c r="G29" i="8"/>
  <c r="H29" i="8"/>
  <c r="F30" i="8"/>
  <c r="G30" i="8"/>
  <c r="H30" i="8"/>
  <c r="H31" i="8"/>
  <c r="F32" i="8"/>
  <c r="G32" i="8"/>
  <c r="H32" i="8"/>
  <c r="F33" i="8"/>
  <c r="G33" i="8"/>
  <c r="H33" i="8"/>
  <c r="G34" i="8"/>
  <c r="H34" i="8"/>
  <c r="F35" i="8"/>
  <c r="G35" i="8"/>
  <c r="H35" i="8"/>
  <c r="F36" i="8"/>
  <c r="G36" i="8"/>
  <c r="H36" i="8"/>
  <c r="F37" i="8"/>
  <c r="G37" i="8"/>
  <c r="G38" i="8"/>
  <c r="H38" i="8"/>
  <c r="F39" i="8"/>
  <c r="G39" i="8"/>
  <c r="H39" i="8"/>
  <c r="F40" i="8"/>
  <c r="G40" i="8"/>
  <c r="F41" i="8"/>
  <c r="G41" i="8"/>
  <c r="H41" i="8"/>
  <c r="F42" i="8"/>
  <c r="G42" i="8"/>
  <c r="H42" i="8"/>
  <c r="B16" i="8"/>
  <c r="C16" i="8"/>
  <c r="D16" i="8"/>
  <c r="B17" i="8"/>
  <c r="B18" i="8"/>
  <c r="C18" i="8"/>
  <c r="D18" i="8"/>
  <c r="B19" i="8"/>
  <c r="C19" i="8"/>
  <c r="D19" i="8"/>
  <c r="B20" i="8"/>
  <c r="D20" i="8"/>
  <c r="B21" i="8"/>
  <c r="C21" i="8"/>
  <c r="D21" i="8"/>
  <c r="B22" i="8"/>
  <c r="C22" i="8"/>
  <c r="D22" i="8"/>
  <c r="B23" i="8"/>
  <c r="C23" i="8"/>
  <c r="D23" i="8"/>
  <c r="D24" i="8"/>
  <c r="B25" i="8"/>
  <c r="C25" i="8"/>
  <c r="D25" i="8"/>
  <c r="B26" i="8"/>
  <c r="C26" i="8"/>
  <c r="D26" i="8"/>
  <c r="C27" i="8"/>
  <c r="D27" i="8"/>
  <c r="B28" i="8"/>
  <c r="C28" i="8"/>
  <c r="D28" i="8"/>
  <c r="B29" i="8"/>
  <c r="C29" i="8"/>
  <c r="D29" i="8"/>
  <c r="B30" i="8"/>
  <c r="C30" i="8"/>
  <c r="C31" i="8"/>
  <c r="D31" i="8"/>
  <c r="B32" i="8"/>
  <c r="C32" i="8"/>
  <c r="D32" i="8"/>
  <c r="B33" i="8"/>
  <c r="C33" i="8"/>
  <c r="B34" i="8"/>
  <c r="C34" i="8"/>
  <c r="D34" i="8"/>
  <c r="B35" i="8"/>
  <c r="C35" i="8"/>
  <c r="D35" i="8"/>
  <c r="B36" i="8"/>
  <c r="C36" i="8"/>
  <c r="D36" i="8"/>
  <c r="B37" i="8"/>
  <c r="B38" i="8"/>
  <c r="C38" i="8"/>
  <c r="D38" i="8"/>
  <c r="B39" i="8"/>
  <c r="C39" i="8"/>
  <c r="D39" i="8"/>
  <c r="B40" i="8"/>
  <c r="D40" i="8"/>
  <c r="B41" i="8"/>
  <c r="C41" i="8"/>
  <c r="D41" i="8"/>
  <c r="B42" i="8"/>
  <c r="C42" i="8"/>
  <c r="D42" i="8"/>
  <c r="G9" i="8"/>
  <c r="G8" i="8"/>
  <c r="G13" i="8" s="1"/>
  <c r="C9" i="8"/>
  <c r="K12" i="1" s="1"/>
  <c r="L4" i="8"/>
  <c r="H17" i="8" s="1"/>
  <c r="H21" i="7"/>
  <c r="G22" i="7"/>
  <c r="H24" i="7"/>
  <c r="F27" i="7"/>
  <c r="F28" i="7"/>
  <c r="G28" i="7"/>
  <c r="F29" i="7"/>
  <c r="G29" i="7"/>
  <c r="H29" i="7"/>
  <c r="F30" i="7"/>
  <c r="F39" i="7"/>
  <c r="G39" i="7"/>
  <c r="H39" i="7"/>
  <c r="H41" i="7"/>
  <c r="G42" i="7"/>
  <c r="H42" i="7"/>
  <c r="C18" i="7"/>
  <c r="D18" i="7"/>
  <c r="D19" i="7"/>
  <c r="B20" i="7"/>
  <c r="D30" i="7"/>
  <c r="B31" i="7"/>
  <c r="D31" i="7"/>
  <c r="B32" i="7"/>
  <c r="C32" i="7"/>
  <c r="D32" i="7"/>
  <c r="B33" i="7"/>
  <c r="C33" i="7"/>
  <c r="D33" i="7"/>
  <c r="B34" i="7"/>
  <c r="L4" i="7"/>
  <c r="G16" i="6"/>
  <c r="F19" i="6"/>
  <c r="G19" i="6"/>
  <c r="F21" i="6"/>
  <c r="F23" i="6"/>
  <c r="G23" i="6"/>
  <c r="F24" i="6"/>
  <c r="F28" i="6"/>
  <c r="G28" i="6"/>
  <c r="F31" i="6"/>
  <c r="G31" i="6"/>
  <c r="H31" i="6"/>
  <c r="F32" i="6"/>
  <c r="G32" i="6"/>
  <c r="H32" i="6"/>
  <c r="G33" i="6"/>
  <c r="H33" i="6"/>
  <c r="F34" i="6"/>
  <c r="G34" i="6"/>
  <c r="H38" i="6"/>
  <c r="F39" i="6"/>
  <c r="G40" i="6"/>
  <c r="H40" i="6"/>
  <c r="G41" i="6"/>
  <c r="G42" i="6"/>
  <c r="B16" i="6"/>
  <c r="B18" i="6"/>
  <c r="B21" i="6"/>
  <c r="B22" i="6"/>
  <c r="B23" i="6"/>
  <c r="C25" i="6"/>
  <c r="C26" i="6"/>
  <c r="B27" i="6"/>
  <c r="B30" i="6"/>
  <c r="C33" i="6"/>
  <c r="D33" i="6"/>
  <c r="B34" i="6"/>
  <c r="C34" i="6"/>
  <c r="D34" i="6"/>
  <c r="B35" i="6"/>
  <c r="C35" i="6"/>
  <c r="B36" i="6"/>
  <c r="B38" i="6"/>
  <c r="C38" i="6"/>
  <c r="C40" i="6"/>
  <c r="C41" i="6"/>
  <c r="D41" i="6"/>
  <c r="B42" i="6"/>
  <c r="D42" i="6"/>
  <c r="G9" i="6"/>
  <c r="C9" i="6"/>
  <c r="L4" i="6"/>
  <c r="H28" i="5"/>
  <c r="L4" i="5"/>
  <c r="D32" i="5" s="1"/>
  <c r="L4" i="4"/>
  <c r="F13" i="13"/>
  <c r="D13" i="13"/>
  <c r="C13" i="13"/>
  <c r="B13" i="13"/>
  <c r="B45" i="13"/>
  <c r="C45" i="13"/>
  <c r="D45" i="13"/>
  <c r="F45" i="13"/>
  <c r="G45" i="13"/>
  <c r="H45" i="13"/>
  <c r="B46" i="13"/>
  <c r="C46" i="13"/>
  <c r="D46" i="13"/>
  <c r="F46" i="13"/>
  <c r="G46" i="13"/>
  <c r="H46" i="13"/>
  <c r="B47" i="13"/>
  <c r="C47" i="13"/>
  <c r="D47" i="13"/>
  <c r="F47" i="13"/>
  <c r="G47" i="13"/>
  <c r="H47" i="13"/>
  <c r="B48" i="13"/>
  <c r="C48" i="13"/>
  <c r="D48" i="13"/>
  <c r="F48" i="13"/>
  <c r="G48" i="13"/>
  <c r="H48" i="13"/>
  <c r="B49" i="13"/>
  <c r="C49" i="13"/>
  <c r="D49" i="13"/>
  <c r="F49" i="13"/>
  <c r="G49" i="13"/>
  <c r="H49" i="13"/>
  <c r="B50" i="13"/>
  <c r="C50" i="13"/>
  <c r="D50" i="13"/>
  <c r="F50" i="13"/>
  <c r="G50" i="13"/>
  <c r="H50" i="13"/>
  <c r="B51" i="13"/>
  <c r="C51" i="13"/>
  <c r="D51" i="13"/>
  <c r="F51" i="13"/>
  <c r="G51" i="13"/>
  <c r="H51" i="13"/>
  <c r="B52" i="13"/>
  <c r="C52" i="13"/>
  <c r="D52" i="13"/>
  <c r="F52" i="13"/>
  <c r="G52" i="13"/>
  <c r="H52" i="13"/>
  <c r="B53" i="13"/>
  <c r="C53" i="13"/>
  <c r="D53" i="13"/>
  <c r="F53" i="13"/>
  <c r="G53" i="13"/>
  <c r="H53" i="13"/>
  <c r="B54" i="13"/>
  <c r="C54" i="13"/>
  <c r="D54" i="13"/>
  <c r="F54" i="13"/>
  <c r="G54" i="13"/>
  <c r="H54" i="13"/>
  <c r="B55" i="13"/>
  <c r="C55" i="13"/>
  <c r="D55" i="13"/>
  <c r="F55" i="13"/>
  <c r="G55" i="13"/>
  <c r="H55" i="13"/>
  <c r="B56" i="13"/>
  <c r="C56" i="13"/>
  <c r="D56" i="13"/>
  <c r="F56" i="13"/>
  <c r="G56" i="13"/>
  <c r="H56" i="13"/>
  <c r="B57" i="13"/>
  <c r="C57" i="13"/>
  <c r="D57" i="13"/>
  <c r="F57" i="13"/>
  <c r="G57" i="13"/>
  <c r="H57" i="13"/>
  <c r="B58" i="13"/>
  <c r="C58" i="13"/>
  <c r="D58" i="13"/>
  <c r="F58" i="13"/>
  <c r="G58" i="13"/>
  <c r="H58" i="13"/>
  <c r="B59" i="13"/>
  <c r="C59" i="13"/>
  <c r="D59" i="13"/>
  <c r="F59" i="13"/>
  <c r="G59" i="13"/>
  <c r="H59" i="13"/>
  <c r="B60" i="13"/>
  <c r="C60" i="13"/>
  <c r="D60" i="13"/>
  <c r="F60" i="13"/>
  <c r="G60" i="13"/>
  <c r="H60" i="13"/>
  <c r="B61" i="13"/>
  <c r="C61" i="13"/>
  <c r="D61" i="13"/>
  <c r="F61" i="13"/>
  <c r="G61" i="13"/>
  <c r="H61" i="13"/>
  <c r="B62" i="13"/>
  <c r="C62" i="13"/>
  <c r="D62" i="13"/>
  <c r="F62" i="13"/>
  <c r="G62" i="13"/>
  <c r="H62" i="13"/>
  <c r="B63" i="13"/>
  <c r="C63" i="13"/>
  <c r="D63" i="13"/>
  <c r="F63" i="13"/>
  <c r="G63" i="13"/>
  <c r="H63" i="13"/>
  <c r="B64" i="13"/>
  <c r="C64" i="13"/>
  <c r="D64" i="13"/>
  <c r="F64" i="13"/>
  <c r="G64" i="13"/>
  <c r="H64" i="13"/>
  <c r="B65" i="13"/>
  <c r="C65" i="13"/>
  <c r="D65" i="13"/>
  <c r="F65" i="13"/>
  <c r="G65" i="13"/>
  <c r="H65" i="13"/>
  <c r="B66" i="13"/>
  <c r="C66" i="13"/>
  <c r="D66" i="13"/>
  <c r="F66" i="13"/>
  <c r="G66" i="13"/>
  <c r="H66" i="13"/>
  <c r="B67" i="13"/>
  <c r="C67" i="13"/>
  <c r="D67" i="13"/>
  <c r="F67" i="13"/>
  <c r="G67" i="13"/>
  <c r="H67" i="13"/>
  <c r="B68" i="13"/>
  <c r="C68" i="13"/>
  <c r="D68" i="13"/>
  <c r="F68" i="13"/>
  <c r="G68" i="13"/>
  <c r="H68" i="13"/>
  <c r="B69" i="13"/>
  <c r="C69" i="13"/>
  <c r="D69" i="13"/>
  <c r="F69" i="13"/>
  <c r="G69" i="13"/>
  <c r="H69" i="13"/>
  <c r="B70" i="13"/>
  <c r="C70" i="13"/>
  <c r="D70" i="13"/>
  <c r="F70" i="13"/>
  <c r="G70" i="13"/>
  <c r="H70" i="13"/>
  <c r="B71" i="13"/>
  <c r="C71" i="13"/>
  <c r="D71" i="13"/>
  <c r="F71" i="13"/>
  <c r="G71" i="13"/>
  <c r="H71" i="13"/>
  <c r="F13" i="12"/>
  <c r="D13" i="12"/>
  <c r="C13" i="12"/>
  <c r="B13" i="12"/>
  <c r="B45" i="12"/>
  <c r="C45" i="12"/>
  <c r="D45" i="12"/>
  <c r="F45" i="12"/>
  <c r="G45" i="12"/>
  <c r="H45" i="12"/>
  <c r="B46" i="12"/>
  <c r="C46" i="12"/>
  <c r="D46" i="12"/>
  <c r="F46" i="12"/>
  <c r="G46" i="12"/>
  <c r="H46" i="12"/>
  <c r="B47" i="12"/>
  <c r="C47" i="12"/>
  <c r="D47" i="12"/>
  <c r="F47" i="12"/>
  <c r="G47" i="12"/>
  <c r="H47" i="12"/>
  <c r="B48" i="12"/>
  <c r="C48" i="12"/>
  <c r="D48" i="12"/>
  <c r="F48" i="12"/>
  <c r="G48" i="12"/>
  <c r="H48" i="12"/>
  <c r="B49" i="12"/>
  <c r="C49" i="12"/>
  <c r="D49" i="12"/>
  <c r="F49" i="12"/>
  <c r="G49" i="12"/>
  <c r="H49" i="12"/>
  <c r="B50" i="12"/>
  <c r="C50" i="12"/>
  <c r="D50" i="12"/>
  <c r="F50" i="12"/>
  <c r="G50" i="12"/>
  <c r="H50" i="12"/>
  <c r="B51" i="12"/>
  <c r="C51" i="12"/>
  <c r="D51" i="12"/>
  <c r="F51" i="12"/>
  <c r="G51" i="12"/>
  <c r="H51" i="12"/>
  <c r="B52" i="12"/>
  <c r="C52" i="12"/>
  <c r="D52" i="12"/>
  <c r="F52" i="12"/>
  <c r="G52" i="12"/>
  <c r="H52" i="12"/>
  <c r="B53" i="12"/>
  <c r="C53" i="12"/>
  <c r="D53" i="12"/>
  <c r="F53" i="12"/>
  <c r="G53" i="12"/>
  <c r="H53" i="12"/>
  <c r="B54" i="12"/>
  <c r="C54" i="12"/>
  <c r="D54" i="12"/>
  <c r="F54" i="12"/>
  <c r="G54" i="12"/>
  <c r="H54" i="12"/>
  <c r="B55" i="12"/>
  <c r="C55" i="12"/>
  <c r="D55" i="12"/>
  <c r="F55" i="12"/>
  <c r="G55" i="12"/>
  <c r="H55" i="12"/>
  <c r="B56" i="12"/>
  <c r="C56" i="12"/>
  <c r="D56" i="12"/>
  <c r="F56" i="12"/>
  <c r="G56" i="12"/>
  <c r="H56" i="12"/>
  <c r="B57" i="12"/>
  <c r="C57" i="12"/>
  <c r="D57" i="12"/>
  <c r="F57" i="12"/>
  <c r="G57" i="12"/>
  <c r="H57" i="12"/>
  <c r="B58" i="12"/>
  <c r="C58" i="12"/>
  <c r="D58" i="12"/>
  <c r="F58" i="12"/>
  <c r="G58" i="12"/>
  <c r="H58" i="12"/>
  <c r="B59" i="12"/>
  <c r="C59" i="12"/>
  <c r="D59" i="12"/>
  <c r="F59" i="12"/>
  <c r="G59" i="12"/>
  <c r="H59" i="12"/>
  <c r="B60" i="12"/>
  <c r="C60" i="12"/>
  <c r="D60" i="12"/>
  <c r="F60" i="12"/>
  <c r="G60" i="12"/>
  <c r="H60" i="12"/>
  <c r="B61" i="12"/>
  <c r="C61" i="12"/>
  <c r="D61" i="12"/>
  <c r="F61" i="12"/>
  <c r="G61" i="12"/>
  <c r="H61" i="12"/>
  <c r="B62" i="12"/>
  <c r="C62" i="12"/>
  <c r="D62" i="12"/>
  <c r="F62" i="12"/>
  <c r="G62" i="12"/>
  <c r="H62" i="12"/>
  <c r="B63" i="12"/>
  <c r="C63" i="12"/>
  <c r="D63" i="12"/>
  <c r="F63" i="12"/>
  <c r="G63" i="12"/>
  <c r="H63" i="12"/>
  <c r="B64" i="12"/>
  <c r="C64" i="12"/>
  <c r="D64" i="12"/>
  <c r="F64" i="12"/>
  <c r="G64" i="12"/>
  <c r="H64" i="12"/>
  <c r="B65" i="12"/>
  <c r="C65" i="12"/>
  <c r="D65" i="12"/>
  <c r="F65" i="12"/>
  <c r="G65" i="12"/>
  <c r="H65" i="12"/>
  <c r="B66" i="12"/>
  <c r="C66" i="12"/>
  <c r="D66" i="12"/>
  <c r="F66" i="12"/>
  <c r="G66" i="12"/>
  <c r="H66" i="12"/>
  <c r="B67" i="12"/>
  <c r="C67" i="12"/>
  <c r="D67" i="12"/>
  <c r="F67" i="12"/>
  <c r="G67" i="12"/>
  <c r="H67" i="12"/>
  <c r="B68" i="12"/>
  <c r="C68" i="12"/>
  <c r="D68" i="12"/>
  <c r="F68" i="12"/>
  <c r="G68" i="12"/>
  <c r="H68" i="12"/>
  <c r="B69" i="12"/>
  <c r="C69" i="12"/>
  <c r="D69" i="12"/>
  <c r="F69" i="12"/>
  <c r="G69" i="12"/>
  <c r="H69" i="12"/>
  <c r="B70" i="12"/>
  <c r="C70" i="12"/>
  <c r="D70" i="12"/>
  <c r="F70" i="12"/>
  <c r="G70" i="12"/>
  <c r="H70" i="12"/>
  <c r="B71" i="12"/>
  <c r="C71" i="12"/>
  <c r="D71" i="12"/>
  <c r="F71" i="12"/>
  <c r="G71" i="12"/>
  <c r="H71" i="12"/>
  <c r="F13" i="11"/>
  <c r="D13" i="11"/>
  <c r="C13" i="11"/>
  <c r="B13" i="11"/>
  <c r="B45" i="11"/>
  <c r="C45" i="11"/>
  <c r="D45" i="11"/>
  <c r="F45" i="11"/>
  <c r="G45" i="11"/>
  <c r="H45" i="11"/>
  <c r="B46" i="11"/>
  <c r="C46" i="11"/>
  <c r="D46" i="11"/>
  <c r="F46" i="11"/>
  <c r="G46" i="11"/>
  <c r="H46" i="11"/>
  <c r="B47" i="11"/>
  <c r="C47" i="11"/>
  <c r="D47" i="11"/>
  <c r="F47" i="11"/>
  <c r="G47" i="11"/>
  <c r="H47" i="11"/>
  <c r="B48" i="11"/>
  <c r="C48" i="11"/>
  <c r="D48" i="11"/>
  <c r="F48" i="11"/>
  <c r="G48" i="11"/>
  <c r="H48" i="11"/>
  <c r="B49" i="11"/>
  <c r="C49" i="11"/>
  <c r="D49" i="11"/>
  <c r="F49" i="11"/>
  <c r="G49" i="11"/>
  <c r="H49" i="11"/>
  <c r="B50" i="11"/>
  <c r="C50" i="11"/>
  <c r="D50" i="11"/>
  <c r="F50" i="11"/>
  <c r="G50" i="11"/>
  <c r="H50" i="11"/>
  <c r="B51" i="11"/>
  <c r="C51" i="11"/>
  <c r="D51" i="11"/>
  <c r="F51" i="11"/>
  <c r="G51" i="11"/>
  <c r="H51" i="11"/>
  <c r="B52" i="11"/>
  <c r="C52" i="11"/>
  <c r="D52" i="11"/>
  <c r="F52" i="11"/>
  <c r="G52" i="11"/>
  <c r="H52" i="11"/>
  <c r="B53" i="11"/>
  <c r="C53" i="11"/>
  <c r="D53" i="11"/>
  <c r="F53" i="11"/>
  <c r="G53" i="11"/>
  <c r="H53" i="11"/>
  <c r="B54" i="11"/>
  <c r="C54" i="11"/>
  <c r="D54" i="11"/>
  <c r="F54" i="11"/>
  <c r="G54" i="11"/>
  <c r="H54" i="11"/>
  <c r="B55" i="11"/>
  <c r="C55" i="11"/>
  <c r="D55" i="11"/>
  <c r="F55" i="11"/>
  <c r="G55" i="11"/>
  <c r="H55" i="11"/>
  <c r="B56" i="11"/>
  <c r="C56" i="11"/>
  <c r="D56" i="11"/>
  <c r="F56" i="11"/>
  <c r="G56" i="11"/>
  <c r="H56" i="11"/>
  <c r="B57" i="11"/>
  <c r="C57" i="11"/>
  <c r="D57" i="11"/>
  <c r="F57" i="11"/>
  <c r="G57" i="11"/>
  <c r="H57" i="11"/>
  <c r="B58" i="11"/>
  <c r="C58" i="11"/>
  <c r="D58" i="11"/>
  <c r="F58" i="11"/>
  <c r="G58" i="11"/>
  <c r="H58" i="11"/>
  <c r="B59" i="11"/>
  <c r="C59" i="11"/>
  <c r="D59" i="11"/>
  <c r="F59" i="11"/>
  <c r="G59" i="11"/>
  <c r="H59" i="11"/>
  <c r="B60" i="11"/>
  <c r="C60" i="11"/>
  <c r="D60" i="11"/>
  <c r="F60" i="11"/>
  <c r="G60" i="11"/>
  <c r="H60" i="11"/>
  <c r="B61" i="11"/>
  <c r="C61" i="11"/>
  <c r="D61" i="11"/>
  <c r="F61" i="11"/>
  <c r="G61" i="11"/>
  <c r="H61" i="11"/>
  <c r="B62" i="11"/>
  <c r="C62" i="11"/>
  <c r="D62" i="11"/>
  <c r="F62" i="11"/>
  <c r="G62" i="11"/>
  <c r="H62" i="11"/>
  <c r="B63" i="11"/>
  <c r="C63" i="11"/>
  <c r="D63" i="11"/>
  <c r="F63" i="11"/>
  <c r="G63" i="11"/>
  <c r="H63" i="11"/>
  <c r="B64" i="11"/>
  <c r="C64" i="11"/>
  <c r="D64" i="11"/>
  <c r="F64" i="11"/>
  <c r="G64" i="11"/>
  <c r="H64" i="11"/>
  <c r="B65" i="11"/>
  <c r="C65" i="11"/>
  <c r="D65" i="11"/>
  <c r="F65" i="11"/>
  <c r="G65" i="11"/>
  <c r="H65" i="11"/>
  <c r="B66" i="11"/>
  <c r="C66" i="11"/>
  <c r="D66" i="11"/>
  <c r="F66" i="11"/>
  <c r="G66" i="11"/>
  <c r="H66" i="11"/>
  <c r="B67" i="11"/>
  <c r="C67" i="11"/>
  <c r="D67" i="11"/>
  <c r="F67" i="11"/>
  <c r="G67" i="11"/>
  <c r="H67" i="11"/>
  <c r="B68" i="11"/>
  <c r="C68" i="11"/>
  <c r="D68" i="11"/>
  <c r="F68" i="11"/>
  <c r="G68" i="11"/>
  <c r="H68" i="11"/>
  <c r="B69" i="11"/>
  <c r="C69" i="11"/>
  <c r="D69" i="11"/>
  <c r="F69" i="11"/>
  <c r="G69" i="11"/>
  <c r="H69" i="11"/>
  <c r="B70" i="11"/>
  <c r="C70" i="11"/>
  <c r="D70" i="11"/>
  <c r="F70" i="11"/>
  <c r="G70" i="11"/>
  <c r="H70" i="11"/>
  <c r="B71" i="11"/>
  <c r="C71" i="11"/>
  <c r="D71" i="11"/>
  <c r="F71" i="11"/>
  <c r="G71" i="11"/>
  <c r="H71" i="11"/>
  <c r="F18" i="10"/>
  <c r="D18" i="10"/>
  <c r="C18" i="10"/>
  <c r="B18" i="10"/>
  <c r="B50" i="10"/>
  <c r="C50" i="10"/>
  <c r="D50" i="10"/>
  <c r="F50" i="10"/>
  <c r="G50" i="10"/>
  <c r="H50" i="10"/>
  <c r="B51" i="10"/>
  <c r="C51" i="10"/>
  <c r="D51" i="10"/>
  <c r="F51" i="10"/>
  <c r="G51" i="10"/>
  <c r="H51" i="10"/>
  <c r="B52" i="10"/>
  <c r="C52" i="10"/>
  <c r="D52" i="10"/>
  <c r="F52" i="10"/>
  <c r="G52" i="10"/>
  <c r="H52" i="10"/>
  <c r="B53" i="10"/>
  <c r="C53" i="10"/>
  <c r="D53" i="10"/>
  <c r="F53" i="10"/>
  <c r="G53" i="10"/>
  <c r="H53" i="10"/>
  <c r="B54" i="10"/>
  <c r="C54" i="10"/>
  <c r="D54" i="10"/>
  <c r="F54" i="10"/>
  <c r="G54" i="10"/>
  <c r="H54" i="10"/>
  <c r="B55" i="10"/>
  <c r="C55" i="10"/>
  <c r="D55" i="10"/>
  <c r="F55" i="10"/>
  <c r="G55" i="10"/>
  <c r="H55" i="10"/>
  <c r="B56" i="10"/>
  <c r="C56" i="10"/>
  <c r="D56" i="10"/>
  <c r="F56" i="10"/>
  <c r="G56" i="10"/>
  <c r="H56" i="10"/>
  <c r="B57" i="10"/>
  <c r="C57" i="10"/>
  <c r="D57" i="10"/>
  <c r="F57" i="10"/>
  <c r="G57" i="10"/>
  <c r="H57" i="10"/>
  <c r="B58" i="10"/>
  <c r="C58" i="10"/>
  <c r="D58" i="10"/>
  <c r="F58" i="10"/>
  <c r="G58" i="10"/>
  <c r="H58" i="10"/>
  <c r="B59" i="10"/>
  <c r="C59" i="10"/>
  <c r="D59" i="10"/>
  <c r="F59" i="10"/>
  <c r="G59" i="10"/>
  <c r="H59" i="10"/>
  <c r="B60" i="10"/>
  <c r="C60" i="10"/>
  <c r="D60" i="10"/>
  <c r="F60" i="10"/>
  <c r="G60" i="10"/>
  <c r="H60" i="10"/>
  <c r="B61" i="10"/>
  <c r="C61" i="10"/>
  <c r="D61" i="10"/>
  <c r="F61" i="10"/>
  <c r="G61" i="10"/>
  <c r="H61" i="10"/>
  <c r="B62" i="10"/>
  <c r="D62" i="10"/>
  <c r="F62" i="10"/>
  <c r="G62" i="10"/>
  <c r="H62" i="10"/>
  <c r="B63" i="10"/>
  <c r="C63" i="10"/>
  <c r="F63" i="10"/>
  <c r="G63" i="10"/>
  <c r="H63" i="10"/>
  <c r="B64" i="10"/>
  <c r="C64" i="10"/>
  <c r="D64" i="10"/>
  <c r="F64" i="10"/>
  <c r="G64" i="10"/>
  <c r="H64" i="10"/>
  <c r="B65" i="10"/>
  <c r="C65" i="10"/>
  <c r="D65" i="10"/>
  <c r="F65" i="10"/>
  <c r="G65" i="10"/>
  <c r="H65" i="10"/>
  <c r="B66" i="10"/>
  <c r="C66" i="10"/>
  <c r="D66" i="10"/>
  <c r="F66" i="10"/>
  <c r="G66" i="10"/>
  <c r="H66" i="10"/>
  <c r="B67" i="10"/>
  <c r="C67" i="10"/>
  <c r="D67" i="10"/>
  <c r="F67" i="10"/>
  <c r="G67" i="10"/>
  <c r="H67" i="10"/>
  <c r="B68" i="10"/>
  <c r="C68" i="10"/>
  <c r="D68" i="10"/>
  <c r="F68" i="10"/>
  <c r="G68" i="10"/>
  <c r="H68" i="10"/>
  <c r="B69" i="10"/>
  <c r="C69" i="10"/>
  <c r="D69" i="10"/>
  <c r="F69" i="10"/>
  <c r="G69" i="10"/>
  <c r="H69" i="10"/>
  <c r="B70" i="10"/>
  <c r="C70" i="10"/>
  <c r="D70" i="10"/>
  <c r="F70" i="10"/>
  <c r="G70" i="10"/>
  <c r="H70" i="10"/>
  <c r="B71" i="10"/>
  <c r="C71" i="10"/>
  <c r="D71" i="10"/>
  <c r="F71" i="10"/>
  <c r="G71" i="10"/>
  <c r="H71" i="10"/>
  <c r="B72" i="10"/>
  <c r="C72" i="10"/>
  <c r="D72" i="10"/>
  <c r="F72" i="10"/>
  <c r="G72" i="10"/>
  <c r="H72" i="10"/>
  <c r="B73" i="10"/>
  <c r="C73" i="10"/>
  <c r="D73" i="10"/>
  <c r="F73" i="10"/>
  <c r="G73" i="10"/>
  <c r="H73" i="10"/>
  <c r="B74" i="10"/>
  <c r="C74" i="10"/>
  <c r="D74" i="10"/>
  <c r="F74" i="10"/>
  <c r="G74" i="10"/>
  <c r="H74" i="10"/>
  <c r="B75" i="10"/>
  <c r="C75" i="10"/>
  <c r="D75" i="10"/>
  <c r="F75" i="10"/>
  <c r="G75" i="10"/>
  <c r="H75" i="10"/>
  <c r="B76" i="10"/>
  <c r="C76" i="10"/>
  <c r="D76" i="10"/>
  <c r="F76" i="10"/>
  <c r="G76" i="10"/>
  <c r="H76" i="10"/>
  <c r="F13" i="9"/>
  <c r="D13" i="9"/>
  <c r="C13" i="9"/>
  <c r="B13" i="9"/>
  <c r="I13" i="1" s="1"/>
  <c r="B45" i="9"/>
  <c r="C45" i="9"/>
  <c r="D45" i="9"/>
  <c r="F45" i="9"/>
  <c r="G45" i="9"/>
  <c r="H45" i="9"/>
  <c r="B46" i="9"/>
  <c r="C46" i="9"/>
  <c r="D46" i="9"/>
  <c r="F46" i="9"/>
  <c r="G46" i="9"/>
  <c r="H46" i="9"/>
  <c r="B47" i="9"/>
  <c r="C47" i="9"/>
  <c r="D47" i="9"/>
  <c r="F47" i="9"/>
  <c r="G47" i="9"/>
  <c r="H47" i="9"/>
  <c r="B48" i="9"/>
  <c r="C48" i="9"/>
  <c r="D48" i="9"/>
  <c r="F48" i="9"/>
  <c r="G48" i="9"/>
  <c r="H48" i="9"/>
  <c r="B49" i="9"/>
  <c r="C49" i="9"/>
  <c r="D49" i="9"/>
  <c r="F49" i="9"/>
  <c r="G49" i="9"/>
  <c r="H49" i="9"/>
  <c r="B50" i="9"/>
  <c r="C50" i="9"/>
  <c r="D50" i="9"/>
  <c r="F50" i="9"/>
  <c r="G50" i="9"/>
  <c r="H50" i="9"/>
  <c r="B51" i="9"/>
  <c r="C51" i="9"/>
  <c r="D51" i="9"/>
  <c r="F51" i="9"/>
  <c r="G51" i="9"/>
  <c r="H51" i="9"/>
  <c r="B52" i="9"/>
  <c r="C52" i="9"/>
  <c r="D52" i="9"/>
  <c r="F52" i="9"/>
  <c r="G52" i="9"/>
  <c r="H52" i="9"/>
  <c r="B53" i="9"/>
  <c r="C53" i="9"/>
  <c r="D53" i="9"/>
  <c r="F53" i="9"/>
  <c r="G53" i="9"/>
  <c r="H53" i="9"/>
  <c r="B54" i="9"/>
  <c r="C54" i="9"/>
  <c r="D54" i="9"/>
  <c r="F54" i="9"/>
  <c r="G54" i="9"/>
  <c r="H54" i="9"/>
  <c r="B55" i="9"/>
  <c r="C55" i="9"/>
  <c r="D55" i="9"/>
  <c r="F55" i="9"/>
  <c r="G55" i="9"/>
  <c r="H55" i="9"/>
  <c r="B56" i="9"/>
  <c r="C56" i="9"/>
  <c r="D56" i="9"/>
  <c r="F56" i="9"/>
  <c r="G56" i="9"/>
  <c r="H56" i="9"/>
  <c r="B57" i="9"/>
  <c r="C57" i="9"/>
  <c r="D57" i="9"/>
  <c r="F57" i="9"/>
  <c r="G57" i="9"/>
  <c r="H57" i="9"/>
  <c r="B58" i="9"/>
  <c r="C58" i="9"/>
  <c r="D58" i="9"/>
  <c r="F58" i="9"/>
  <c r="G58" i="9"/>
  <c r="H58" i="9"/>
  <c r="B59" i="9"/>
  <c r="C59" i="9"/>
  <c r="D59" i="9"/>
  <c r="F59" i="9"/>
  <c r="G59" i="9"/>
  <c r="H59" i="9"/>
  <c r="B60" i="9"/>
  <c r="C60" i="9"/>
  <c r="D60" i="9"/>
  <c r="F60" i="9"/>
  <c r="G60" i="9"/>
  <c r="H60" i="9"/>
  <c r="B61" i="9"/>
  <c r="C61" i="9"/>
  <c r="D61" i="9"/>
  <c r="F61" i="9"/>
  <c r="G61" i="9"/>
  <c r="H61" i="9"/>
  <c r="B62" i="9"/>
  <c r="C62" i="9"/>
  <c r="D62" i="9"/>
  <c r="F62" i="9"/>
  <c r="G62" i="9"/>
  <c r="H62" i="9"/>
  <c r="B63" i="9"/>
  <c r="C63" i="9"/>
  <c r="D63" i="9"/>
  <c r="F63" i="9"/>
  <c r="G63" i="9"/>
  <c r="H63" i="9"/>
  <c r="B64" i="9"/>
  <c r="C64" i="9"/>
  <c r="D64" i="9"/>
  <c r="F64" i="9"/>
  <c r="G64" i="9"/>
  <c r="H64" i="9"/>
  <c r="B65" i="9"/>
  <c r="C65" i="9"/>
  <c r="D65" i="9"/>
  <c r="F65" i="9"/>
  <c r="G65" i="9"/>
  <c r="H65" i="9"/>
  <c r="B66" i="9"/>
  <c r="C66" i="9"/>
  <c r="D66" i="9"/>
  <c r="F66" i="9"/>
  <c r="G66" i="9"/>
  <c r="H66" i="9"/>
  <c r="B67" i="9"/>
  <c r="C67" i="9"/>
  <c r="D67" i="9"/>
  <c r="F67" i="9"/>
  <c r="G67" i="9"/>
  <c r="H67" i="9"/>
  <c r="B68" i="9"/>
  <c r="C68" i="9"/>
  <c r="D68" i="9"/>
  <c r="F68" i="9"/>
  <c r="G68" i="9"/>
  <c r="H68" i="9"/>
  <c r="B69" i="9"/>
  <c r="C69" i="9"/>
  <c r="D69" i="9"/>
  <c r="F69" i="9"/>
  <c r="G69" i="9"/>
  <c r="H69" i="9"/>
  <c r="B70" i="9"/>
  <c r="C70" i="9"/>
  <c r="D70" i="9"/>
  <c r="F70" i="9"/>
  <c r="G70" i="9"/>
  <c r="H70" i="9"/>
  <c r="B71" i="9"/>
  <c r="C71" i="9"/>
  <c r="D71" i="9"/>
  <c r="F71" i="9"/>
  <c r="G71" i="9"/>
  <c r="H71" i="9"/>
  <c r="F13" i="8"/>
  <c r="D13" i="8"/>
  <c r="C13" i="8"/>
  <c r="B13" i="8"/>
  <c r="B45" i="8"/>
  <c r="C45" i="8"/>
  <c r="D45" i="8"/>
  <c r="F45" i="8"/>
  <c r="G45" i="8"/>
  <c r="H45" i="8"/>
  <c r="B46" i="8"/>
  <c r="C46" i="8"/>
  <c r="D46" i="8"/>
  <c r="F46" i="8"/>
  <c r="G46" i="8"/>
  <c r="H46" i="8"/>
  <c r="B47" i="8"/>
  <c r="C47" i="8"/>
  <c r="D47" i="8"/>
  <c r="F47" i="8"/>
  <c r="G47" i="8"/>
  <c r="H47" i="8"/>
  <c r="B48" i="8"/>
  <c r="C48" i="8"/>
  <c r="D48" i="8"/>
  <c r="F48" i="8"/>
  <c r="G48" i="8"/>
  <c r="H48" i="8"/>
  <c r="B49" i="8"/>
  <c r="C49" i="8"/>
  <c r="D49" i="8"/>
  <c r="F49" i="8"/>
  <c r="G49" i="8"/>
  <c r="H49" i="8"/>
  <c r="B50" i="8"/>
  <c r="C50" i="8"/>
  <c r="D50" i="8"/>
  <c r="F50" i="8"/>
  <c r="G50" i="8"/>
  <c r="H50" i="8"/>
  <c r="B51" i="8"/>
  <c r="C51" i="8"/>
  <c r="D51" i="8"/>
  <c r="F51" i="8"/>
  <c r="G51" i="8"/>
  <c r="H51" i="8"/>
  <c r="B52" i="8"/>
  <c r="C52" i="8"/>
  <c r="D52" i="8"/>
  <c r="F52" i="8"/>
  <c r="G52" i="8"/>
  <c r="H52" i="8"/>
  <c r="B53" i="8"/>
  <c r="C53" i="8"/>
  <c r="D53" i="8"/>
  <c r="F53" i="8"/>
  <c r="G53" i="8"/>
  <c r="H53" i="8"/>
  <c r="B54" i="8"/>
  <c r="C54" i="8"/>
  <c r="D54" i="8"/>
  <c r="F54" i="8"/>
  <c r="G54" i="8"/>
  <c r="H54" i="8"/>
  <c r="B55" i="8"/>
  <c r="C55" i="8"/>
  <c r="D55" i="8"/>
  <c r="F55" i="8"/>
  <c r="G55" i="8"/>
  <c r="H55" i="8"/>
  <c r="B56" i="8"/>
  <c r="C56" i="8"/>
  <c r="D56" i="8"/>
  <c r="F56" i="8"/>
  <c r="G56" i="8"/>
  <c r="H56" i="8"/>
  <c r="B57" i="8"/>
  <c r="C57" i="8"/>
  <c r="D57" i="8"/>
  <c r="F57" i="8"/>
  <c r="G57" i="8"/>
  <c r="H57" i="8"/>
  <c r="B58" i="8"/>
  <c r="C58" i="8"/>
  <c r="D58" i="8"/>
  <c r="F58" i="8"/>
  <c r="G58" i="8"/>
  <c r="H58" i="8"/>
  <c r="B59" i="8"/>
  <c r="C59" i="8"/>
  <c r="D59" i="8"/>
  <c r="F59" i="8"/>
  <c r="G59" i="8"/>
  <c r="H59" i="8"/>
  <c r="B60" i="8"/>
  <c r="C60" i="8"/>
  <c r="D60" i="8"/>
  <c r="F60" i="8"/>
  <c r="G60" i="8"/>
  <c r="H60" i="8"/>
  <c r="B61" i="8"/>
  <c r="C61" i="8"/>
  <c r="D61" i="8"/>
  <c r="F61" i="8"/>
  <c r="G61" i="8"/>
  <c r="H61" i="8"/>
  <c r="B62" i="8"/>
  <c r="C62" i="8"/>
  <c r="D62" i="8"/>
  <c r="F62" i="8"/>
  <c r="G62" i="8"/>
  <c r="H62" i="8"/>
  <c r="B63" i="8"/>
  <c r="C63" i="8"/>
  <c r="D63" i="8"/>
  <c r="F63" i="8"/>
  <c r="G63" i="8"/>
  <c r="H63" i="8"/>
  <c r="B64" i="8"/>
  <c r="C64" i="8"/>
  <c r="D64" i="8"/>
  <c r="F64" i="8"/>
  <c r="G64" i="8"/>
  <c r="H64" i="8"/>
  <c r="B65" i="8"/>
  <c r="C65" i="8"/>
  <c r="D65" i="8"/>
  <c r="F65" i="8"/>
  <c r="G65" i="8"/>
  <c r="H65" i="8"/>
  <c r="B66" i="8"/>
  <c r="C66" i="8"/>
  <c r="D66" i="8"/>
  <c r="F66" i="8"/>
  <c r="G66" i="8"/>
  <c r="H66" i="8"/>
  <c r="B67" i="8"/>
  <c r="C67" i="8"/>
  <c r="D67" i="8"/>
  <c r="F67" i="8"/>
  <c r="G67" i="8"/>
  <c r="H67" i="8"/>
  <c r="B68" i="8"/>
  <c r="C68" i="8"/>
  <c r="D68" i="8"/>
  <c r="F68" i="8"/>
  <c r="G68" i="8"/>
  <c r="H68" i="8"/>
  <c r="B69" i="8"/>
  <c r="C69" i="8"/>
  <c r="D69" i="8"/>
  <c r="F69" i="8"/>
  <c r="G69" i="8"/>
  <c r="H69" i="8"/>
  <c r="B70" i="8"/>
  <c r="C70" i="8"/>
  <c r="D70" i="8"/>
  <c r="F70" i="8"/>
  <c r="G70" i="8"/>
  <c r="H70" i="8"/>
  <c r="B71" i="8"/>
  <c r="C71" i="8"/>
  <c r="D71" i="8"/>
  <c r="F71" i="8"/>
  <c r="G71" i="8"/>
  <c r="H71" i="8"/>
  <c r="F13" i="7"/>
  <c r="D13" i="7"/>
  <c r="C13" i="7"/>
  <c r="B13" i="7"/>
  <c r="B63" i="7"/>
  <c r="C63" i="7"/>
  <c r="D63" i="7"/>
  <c r="F63" i="7"/>
  <c r="G63" i="7"/>
  <c r="H63" i="7"/>
  <c r="B64" i="7"/>
  <c r="C64" i="7"/>
  <c r="D64" i="7"/>
  <c r="F64" i="7"/>
  <c r="G64" i="7"/>
  <c r="H64" i="7"/>
  <c r="B65" i="7"/>
  <c r="C65" i="7"/>
  <c r="D65" i="7"/>
  <c r="F65" i="7"/>
  <c r="G65" i="7"/>
  <c r="H65" i="7"/>
  <c r="B66" i="7"/>
  <c r="C66" i="7"/>
  <c r="D66" i="7"/>
  <c r="F66" i="7"/>
  <c r="G66" i="7"/>
  <c r="H66" i="7"/>
  <c r="B67" i="7"/>
  <c r="C67" i="7"/>
  <c r="D67" i="7"/>
  <c r="F67" i="7"/>
  <c r="G67" i="7"/>
  <c r="H67" i="7"/>
  <c r="B68" i="7"/>
  <c r="C68" i="7"/>
  <c r="D68" i="7"/>
  <c r="F68" i="7"/>
  <c r="G68" i="7"/>
  <c r="H68" i="7"/>
  <c r="B69" i="7"/>
  <c r="C69" i="7"/>
  <c r="D69" i="7"/>
  <c r="F69" i="7"/>
  <c r="G69" i="7"/>
  <c r="H69" i="7"/>
  <c r="B70" i="7"/>
  <c r="C70" i="7"/>
  <c r="D70" i="7"/>
  <c r="F70" i="7"/>
  <c r="G70" i="7"/>
  <c r="H70" i="7"/>
  <c r="B71" i="7"/>
  <c r="C71" i="7"/>
  <c r="D71" i="7"/>
  <c r="F71" i="7"/>
  <c r="G71" i="7"/>
  <c r="H71" i="7"/>
  <c r="F13" i="6"/>
  <c r="D13" i="6"/>
  <c r="C13" i="6"/>
  <c r="B13" i="6"/>
  <c r="B45" i="6"/>
  <c r="C45" i="6"/>
  <c r="D45" i="6"/>
  <c r="F45" i="6"/>
  <c r="G45" i="6"/>
  <c r="H45" i="6"/>
  <c r="B46" i="6"/>
  <c r="C46" i="6"/>
  <c r="D46" i="6"/>
  <c r="F46" i="6"/>
  <c r="G46" i="6"/>
  <c r="H46" i="6"/>
  <c r="B47" i="6"/>
  <c r="C47" i="6"/>
  <c r="D47" i="6"/>
  <c r="F47" i="6"/>
  <c r="G47" i="6"/>
  <c r="H47" i="6"/>
  <c r="B48" i="6"/>
  <c r="C48" i="6"/>
  <c r="D48" i="6"/>
  <c r="F48" i="6"/>
  <c r="G48" i="6"/>
  <c r="H48" i="6"/>
  <c r="B49" i="6"/>
  <c r="C49" i="6"/>
  <c r="D49" i="6"/>
  <c r="F49" i="6"/>
  <c r="G49" i="6"/>
  <c r="H49" i="6"/>
  <c r="B50" i="6"/>
  <c r="C50" i="6"/>
  <c r="D50" i="6"/>
  <c r="F50" i="6"/>
  <c r="G50" i="6"/>
  <c r="H50" i="6"/>
  <c r="B51" i="6"/>
  <c r="C51" i="6"/>
  <c r="D51" i="6"/>
  <c r="F51" i="6"/>
  <c r="G51" i="6"/>
  <c r="H51" i="6"/>
  <c r="B52" i="6"/>
  <c r="C52" i="6"/>
  <c r="D52" i="6"/>
  <c r="F52" i="6"/>
  <c r="G52" i="6"/>
  <c r="H52" i="6"/>
  <c r="B53" i="6"/>
  <c r="C53" i="6"/>
  <c r="D53" i="6"/>
  <c r="F53" i="6"/>
  <c r="G53" i="6"/>
  <c r="H53" i="6"/>
  <c r="B54" i="6"/>
  <c r="C54" i="6"/>
  <c r="D54" i="6"/>
  <c r="F54" i="6"/>
  <c r="G54" i="6"/>
  <c r="H54" i="6"/>
  <c r="B55" i="6"/>
  <c r="C55" i="6"/>
  <c r="D55" i="6"/>
  <c r="F55" i="6"/>
  <c r="G55" i="6"/>
  <c r="H55" i="6"/>
  <c r="B56" i="6"/>
  <c r="C56" i="6"/>
  <c r="D56" i="6"/>
  <c r="F56" i="6"/>
  <c r="G56" i="6"/>
  <c r="H56" i="6"/>
  <c r="B57" i="6"/>
  <c r="C57" i="6"/>
  <c r="D57" i="6"/>
  <c r="F57" i="6"/>
  <c r="G57" i="6"/>
  <c r="H57" i="6"/>
  <c r="B58" i="6"/>
  <c r="C58" i="6"/>
  <c r="D58" i="6"/>
  <c r="F58" i="6"/>
  <c r="G58" i="6"/>
  <c r="H58" i="6"/>
  <c r="B59" i="6"/>
  <c r="C59" i="6"/>
  <c r="D59" i="6"/>
  <c r="F59" i="6"/>
  <c r="G59" i="6"/>
  <c r="H59" i="6"/>
  <c r="B60" i="6"/>
  <c r="C60" i="6"/>
  <c r="D60" i="6"/>
  <c r="F60" i="6"/>
  <c r="G60" i="6"/>
  <c r="H60" i="6"/>
  <c r="B61" i="6"/>
  <c r="C61" i="6"/>
  <c r="D61" i="6"/>
  <c r="F61" i="6"/>
  <c r="G61" i="6"/>
  <c r="H61" i="6"/>
  <c r="B62" i="6"/>
  <c r="C62" i="6"/>
  <c r="D62" i="6"/>
  <c r="F62" i="6"/>
  <c r="G62" i="6"/>
  <c r="H62" i="6"/>
  <c r="B63" i="6"/>
  <c r="C63" i="6"/>
  <c r="D63" i="6"/>
  <c r="F63" i="6"/>
  <c r="G63" i="6"/>
  <c r="H63" i="6"/>
  <c r="B64" i="6"/>
  <c r="C64" i="6"/>
  <c r="D64" i="6"/>
  <c r="F64" i="6"/>
  <c r="G64" i="6"/>
  <c r="H64" i="6"/>
  <c r="B65" i="6"/>
  <c r="C65" i="6"/>
  <c r="D65" i="6"/>
  <c r="F65" i="6"/>
  <c r="G65" i="6"/>
  <c r="H65" i="6"/>
  <c r="B66" i="6"/>
  <c r="C66" i="6"/>
  <c r="D66" i="6"/>
  <c r="F66" i="6"/>
  <c r="G66" i="6"/>
  <c r="H66" i="6"/>
  <c r="B67" i="6"/>
  <c r="C67" i="6"/>
  <c r="D67" i="6"/>
  <c r="F67" i="6"/>
  <c r="G67" i="6"/>
  <c r="H67" i="6"/>
  <c r="B68" i="6"/>
  <c r="C68" i="6"/>
  <c r="D68" i="6"/>
  <c r="F68" i="6"/>
  <c r="G68" i="6"/>
  <c r="H68" i="6"/>
  <c r="B69" i="6"/>
  <c r="C69" i="6"/>
  <c r="D69" i="6"/>
  <c r="F69" i="6"/>
  <c r="G69" i="6"/>
  <c r="H69" i="6"/>
  <c r="B70" i="6"/>
  <c r="C70" i="6"/>
  <c r="D70" i="6"/>
  <c r="F70" i="6"/>
  <c r="G70" i="6"/>
  <c r="H70" i="6"/>
  <c r="B71" i="6"/>
  <c r="C71" i="6"/>
  <c r="D71" i="6"/>
  <c r="F71" i="6"/>
  <c r="G71" i="6"/>
  <c r="H71" i="6"/>
  <c r="F13" i="5"/>
  <c r="D13" i="5"/>
  <c r="C13" i="5"/>
  <c r="B13" i="5"/>
  <c r="B45" i="5"/>
  <c r="C45" i="5"/>
  <c r="D45" i="5"/>
  <c r="F45" i="5"/>
  <c r="G45" i="5"/>
  <c r="H45" i="5"/>
  <c r="B46" i="5"/>
  <c r="C46" i="5"/>
  <c r="D46" i="5"/>
  <c r="F46" i="5"/>
  <c r="G46" i="5"/>
  <c r="H46" i="5"/>
  <c r="B47" i="5"/>
  <c r="C47" i="5"/>
  <c r="D47" i="5"/>
  <c r="F47" i="5"/>
  <c r="G47" i="5"/>
  <c r="H47" i="5"/>
  <c r="B48" i="5"/>
  <c r="C48" i="5"/>
  <c r="D48" i="5"/>
  <c r="F48" i="5"/>
  <c r="G48" i="5"/>
  <c r="H48" i="5"/>
  <c r="B49" i="5"/>
  <c r="C49" i="5"/>
  <c r="D49" i="5"/>
  <c r="F49" i="5"/>
  <c r="G49" i="5"/>
  <c r="H49" i="5"/>
  <c r="B50" i="5"/>
  <c r="C50" i="5"/>
  <c r="D50" i="5"/>
  <c r="F50" i="5"/>
  <c r="G50" i="5"/>
  <c r="H50" i="5"/>
  <c r="B51" i="5"/>
  <c r="C51" i="5"/>
  <c r="D51" i="5"/>
  <c r="F51" i="5"/>
  <c r="G51" i="5"/>
  <c r="H51" i="5"/>
  <c r="B52" i="5"/>
  <c r="C52" i="5"/>
  <c r="D52" i="5"/>
  <c r="F52" i="5"/>
  <c r="G52" i="5"/>
  <c r="H52" i="5"/>
  <c r="B53" i="5"/>
  <c r="C53" i="5"/>
  <c r="D53" i="5"/>
  <c r="F53" i="5"/>
  <c r="G53" i="5"/>
  <c r="H53" i="5"/>
  <c r="B54" i="5"/>
  <c r="C54" i="5"/>
  <c r="D54" i="5"/>
  <c r="F54" i="5"/>
  <c r="G54" i="5"/>
  <c r="H54" i="5"/>
  <c r="B55" i="5"/>
  <c r="C55" i="5"/>
  <c r="D55" i="5"/>
  <c r="F55" i="5"/>
  <c r="G55" i="5"/>
  <c r="H55" i="5"/>
  <c r="B56" i="5"/>
  <c r="C56" i="5"/>
  <c r="D56" i="5"/>
  <c r="F56" i="5"/>
  <c r="G56" i="5"/>
  <c r="H56" i="5"/>
  <c r="B57" i="5"/>
  <c r="C57" i="5"/>
  <c r="D57" i="5"/>
  <c r="F57" i="5"/>
  <c r="G57" i="5"/>
  <c r="H57" i="5"/>
  <c r="B58" i="5"/>
  <c r="C58" i="5"/>
  <c r="D58" i="5"/>
  <c r="F58" i="5"/>
  <c r="G58" i="5"/>
  <c r="H58" i="5"/>
  <c r="B59" i="5"/>
  <c r="C59" i="5"/>
  <c r="D59" i="5"/>
  <c r="F59" i="5"/>
  <c r="G59" i="5"/>
  <c r="H59" i="5"/>
  <c r="B60" i="5"/>
  <c r="C60" i="5"/>
  <c r="D60" i="5"/>
  <c r="F60" i="5"/>
  <c r="G60" i="5"/>
  <c r="H60" i="5"/>
  <c r="B61" i="5"/>
  <c r="C61" i="5"/>
  <c r="D61" i="5"/>
  <c r="F61" i="5"/>
  <c r="G61" i="5"/>
  <c r="H61" i="5"/>
  <c r="B62" i="5"/>
  <c r="C62" i="5"/>
  <c r="D62" i="5"/>
  <c r="F62" i="5"/>
  <c r="G62" i="5"/>
  <c r="H62" i="5"/>
  <c r="B63" i="5"/>
  <c r="C63" i="5"/>
  <c r="D63" i="5"/>
  <c r="F63" i="5"/>
  <c r="G63" i="5"/>
  <c r="H63" i="5"/>
  <c r="B64" i="5"/>
  <c r="C64" i="5"/>
  <c r="D64" i="5"/>
  <c r="F64" i="5"/>
  <c r="G64" i="5"/>
  <c r="H64" i="5"/>
  <c r="B65" i="5"/>
  <c r="C65" i="5"/>
  <c r="D65" i="5"/>
  <c r="F65" i="5"/>
  <c r="G65" i="5"/>
  <c r="H65" i="5"/>
  <c r="B66" i="5"/>
  <c r="C66" i="5"/>
  <c r="D66" i="5"/>
  <c r="F66" i="5"/>
  <c r="G66" i="5"/>
  <c r="H66" i="5"/>
  <c r="B67" i="5"/>
  <c r="C67" i="5"/>
  <c r="D67" i="5"/>
  <c r="F67" i="5"/>
  <c r="G67" i="5"/>
  <c r="H67" i="5"/>
  <c r="B68" i="5"/>
  <c r="C68" i="5"/>
  <c r="D68" i="5"/>
  <c r="F68" i="5"/>
  <c r="G68" i="5"/>
  <c r="H68" i="5"/>
  <c r="B69" i="5"/>
  <c r="C69" i="5"/>
  <c r="D69" i="5"/>
  <c r="F69" i="5"/>
  <c r="G69" i="5"/>
  <c r="H69" i="5"/>
  <c r="B70" i="5"/>
  <c r="C70" i="5"/>
  <c r="D70" i="5"/>
  <c r="F70" i="5"/>
  <c r="G70" i="5"/>
  <c r="H70" i="5"/>
  <c r="B71" i="5"/>
  <c r="C71" i="5"/>
  <c r="D71" i="5"/>
  <c r="F71" i="5"/>
  <c r="G71" i="5"/>
  <c r="H71" i="5"/>
  <c r="F13" i="4"/>
  <c r="D13" i="4"/>
  <c r="C13" i="4"/>
  <c r="B13" i="4"/>
  <c r="I8" i="1" s="1"/>
  <c r="B45" i="4"/>
  <c r="C45" i="4"/>
  <c r="D45" i="4"/>
  <c r="F45" i="4"/>
  <c r="G45" i="4"/>
  <c r="H45" i="4"/>
  <c r="B46" i="4"/>
  <c r="C46" i="4"/>
  <c r="D46" i="4"/>
  <c r="F46" i="4"/>
  <c r="G46" i="4"/>
  <c r="H46" i="4"/>
  <c r="B47" i="4"/>
  <c r="C47" i="4"/>
  <c r="D47" i="4"/>
  <c r="F47" i="4"/>
  <c r="G47" i="4"/>
  <c r="H47" i="4"/>
  <c r="B48" i="4"/>
  <c r="C48" i="4"/>
  <c r="D48" i="4"/>
  <c r="F48" i="4"/>
  <c r="G48" i="4"/>
  <c r="H48" i="4"/>
  <c r="B49" i="4"/>
  <c r="C49" i="4"/>
  <c r="D49" i="4"/>
  <c r="F49" i="4"/>
  <c r="G49" i="4"/>
  <c r="H49" i="4"/>
  <c r="B50" i="4"/>
  <c r="C50" i="4"/>
  <c r="D50" i="4"/>
  <c r="F50" i="4"/>
  <c r="G50" i="4"/>
  <c r="H50" i="4"/>
  <c r="B51" i="4"/>
  <c r="C51" i="4"/>
  <c r="D51" i="4"/>
  <c r="F51" i="4"/>
  <c r="G51" i="4"/>
  <c r="H51" i="4"/>
  <c r="B52" i="4"/>
  <c r="C52" i="4"/>
  <c r="D52" i="4"/>
  <c r="F52" i="4"/>
  <c r="G52" i="4"/>
  <c r="H52" i="4"/>
  <c r="B53" i="4"/>
  <c r="C53" i="4"/>
  <c r="D53" i="4"/>
  <c r="F53" i="4"/>
  <c r="G53" i="4"/>
  <c r="H53" i="4"/>
  <c r="B54" i="4"/>
  <c r="C54" i="4"/>
  <c r="D54" i="4"/>
  <c r="F54" i="4"/>
  <c r="G54" i="4"/>
  <c r="H54" i="4"/>
  <c r="B55" i="4"/>
  <c r="C55" i="4"/>
  <c r="D55" i="4"/>
  <c r="F55" i="4"/>
  <c r="G55" i="4"/>
  <c r="H55" i="4"/>
  <c r="B56" i="4"/>
  <c r="C56" i="4"/>
  <c r="D56" i="4"/>
  <c r="F56" i="4"/>
  <c r="G56" i="4"/>
  <c r="H56" i="4"/>
  <c r="B57" i="4"/>
  <c r="C57" i="4"/>
  <c r="D57" i="4"/>
  <c r="F57" i="4"/>
  <c r="G57" i="4"/>
  <c r="H57" i="4"/>
  <c r="B58" i="4"/>
  <c r="C58" i="4"/>
  <c r="D58" i="4"/>
  <c r="F58" i="4"/>
  <c r="G58" i="4"/>
  <c r="H58" i="4"/>
  <c r="B59" i="4"/>
  <c r="C59" i="4"/>
  <c r="D59" i="4"/>
  <c r="F59" i="4"/>
  <c r="G59" i="4"/>
  <c r="H59" i="4"/>
  <c r="B60" i="4"/>
  <c r="C60" i="4"/>
  <c r="D60" i="4"/>
  <c r="F60" i="4"/>
  <c r="G60" i="4"/>
  <c r="H60" i="4"/>
  <c r="B61" i="4"/>
  <c r="C61" i="4"/>
  <c r="D61" i="4"/>
  <c r="F61" i="4"/>
  <c r="G61" i="4"/>
  <c r="H61" i="4"/>
  <c r="B62" i="4"/>
  <c r="C62" i="4"/>
  <c r="D62" i="4"/>
  <c r="F62" i="4"/>
  <c r="G62" i="4"/>
  <c r="H62" i="4"/>
  <c r="B63" i="4"/>
  <c r="C63" i="4"/>
  <c r="D63" i="4"/>
  <c r="F63" i="4"/>
  <c r="G63" i="4"/>
  <c r="H63" i="4"/>
  <c r="B64" i="4"/>
  <c r="C64" i="4"/>
  <c r="D64" i="4"/>
  <c r="F64" i="4"/>
  <c r="G64" i="4"/>
  <c r="H64" i="4"/>
  <c r="B65" i="4"/>
  <c r="C65" i="4"/>
  <c r="D65" i="4"/>
  <c r="F65" i="4"/>
  <c r="G65" i="4"/>
  <c r="H65" i="4"/>
  <c r="B66" i="4"/>
  <c r="C66" i="4"/>
  <c r="D66" i="4"/>
  <c r="F66" i="4"/>
  <c r="G66" i="4"/>
  <c r="H66" i="4"/>
  <c r="B67" i="4"/>
  <c r="C67" i="4"/>
  <c r="D67" i="4"/>
  <c r="F67" i="4"/>
  <c r="G67" i="4"/>
  <c r="H67" i="4"/>
  <c r="B68" i="4"/>
  <c r="C68" i="4"/>
  <c r="D68" i="4"/>
  <c r="F68" i="4"/>
  <c r="G68" i="4"/>
  <c r="H68" i="4"/>
  <c r="B69" i="4"/>
  <c r="C69" i="4"/>
  <c r="D69" i="4"/>
  <c r="F69" i="4"/>
  <c r="G69" i="4"/>
  <c r="H69" i="4"/>
  <c r="B70" i="4"/>
  <c r="C70" i="4"/>
  <c r="D70" i="4"/>
  <c r="F70" i="4"/>
  <c r="G70" i="4"/>
  <c r="H70" i="4"/>
  <c r="B71" i="4"/>
  <c r="C71" i="4"/>
  <c r="D71" i="4"/>
  <c r="F71" i="4"/>
  <c r="G71" i="4"/>
  <c r="H71" i="4"/>
  <c r="G13" i="11"/>
  <c r="I17" i="1"/>
  <c r="I16" i="1"/>
  <c r="J12" i="1"/>
  <c r="I10" i="1"/>
  <c r="K10" i="1"/>
  <c r="G17" i="1"/>
  <c r="F17" i="1"/>
  <c r="E17" i="1"/>
  <c r="D17" i="1"/>
  <c r="C17" i="1"/>
  <c r="G16" i="1"/>
  <c r="F16" i="1"/>
  <c r="E16" i="1"/>
  <c r="D16" i="1"/>
  <c r="C16" i="1"/>
  <c r="K15" i="1"/>
  <c r="J15" i="1"/>
  <c r="I15" i="1"/>
  <c r="G15" i="1"/>
  <c r="F15" i="1"/>
  <c r="E15" i="1"/>
  <c r="D15" i="1"/>
  <c r="C15" i="1"/>
  <c r="G14" i="1"/>
  <c r="F14" i="1"/>
  <c r="E14" i="1"/>
  <c r="D14" i="1"/>
  <c r="C14" i="1"/>
  <c r="G13" i="1"/>
  <c r="F13" i="1"/>
  <c r="E13" i="1"/>
  <c r="D13" i="1"/>
  <c r="C13" i="1"/>
  <c r="I12" i="1"/>
  <c r="G12" i="1"/>
  <c r="F12" i="1"/>
  <c r="E12" i="1"/>
  <c r="D12" i="1"/>
  <c r="C12" i="1"/>
  <c r="G11" i="1"/>
  <c r="F11" i="1"/>
  <c r="E11" i="1"/>
  <c r="D11" i="1"/>
  <c r="C11" i="1"/>
  <c r="G10" i="1"/>
  <c r="F10" i="1"/>
  <c r="E10" i="1"/>
  <c r="D10" i="1"/>
  <c r="C10" i="1"/>
  <c r="I9" i="1"/>
  <c r="G9" i="1"/>
  <c r="F9" i="1"/>
  <c r="E9" i="1"/>
  <c r="D9" i="1"/>
  <c r="C9" i="1"/>
  <c r="G8" i="1"/>
  <c r="F8" i="1"/>
  <c r="E8" i="1"/>
  <c r="D8" i="1"/>
  <c r="C8" i="1"/>
  <c r="A5" i="1"/>
  <c r="G15" i="10" l="1"/>
  <c r="C15" i="10"/>
  <c r="G14" i="10"/>
  <c r="C14" i="10"/>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16" i="12"/>
  <c r="F16" i="12"/>
  <c r="G16" i="12"/>
  <c r="G17" i="12"/>
  <c r="F18" i="12"/>
  <c r="G18" i="12"/>
  <c r="G21" i="12"/>
  <c r="G22" i="12"/>
  <c r="F24" i="12"/>
  <c r="G24" i="12"/>
  <c r="F25" i="12"/>
  <c r="G25" i="12"/>
  <c r="H25" i="12"/>
  <c r="F26" i="12"/>
  <c r="G26" i="12"/>
  <c r="G29" i="12"/>
  <c r="F31" i="12"/>
  <c r="F32" i="12"/>
  <c r="G32" i="12"/>
  <c r="H32" i="12"/>
  <c r="G33" i="12"/>
  <c r="H34" i="12"/>
  <c r="F35" i="12"/>
  <c r="G35" i="12"/>
  <c r="F38" i="12"/>
  <c r="G38" i="12"/>
  <c r="H38" i="12"/>
  <c r="F39" i="12"/>
  <c r="H39" i="12"/>
  <c r="F40" i="12"/>
  <c r="F41" i="12"/>
  <c r="G41" i="12"/>
  <c r="H41" i="12"/>
  <c r="F42" i="12"/>
  <c r="G42" i="12"/>
  <c r="H42" i="12"/>
  <c r="B16" i="12"/>
  <c r="B17" i="12"/>
  <c r="C19" i="12"/>
  <c r="C21" i="12"/>
  <c r="B22" i="12"/>
  <c r="C22" i="12"/>
  <c r="B24" i="12"/>
  <c r="C24" i="12"/>
  <c r="B25" i="12"/>
  <c r="B28" i="12"/>
  <c r="C28" i="12"/>
  <c r="C29" i="12"/>
  <c r="C30" i="12"/>
  <c r="B31" i="12"/>
  <c r="B32" i="12"/>
  <c r="C32" i="12"/>
  <c r="B33" i="12"/>
  <c r="B36" i="12"/>
  <c r="B37" i="12"/>
  <c r="C37" i="12"/>
  <c r="B38" i="12"/>
  <c r="C38" i="12"/>
  <c r="B39" i="12"/>
  <c r="C39" i="12"/>
  <c r="B41" i="12"/>
  <c r="H39" i="10"/>
  <c r="H21" i="10"/>
  <c r="F22" i="10"/>
  <c r="F23" i="10"/>
  <c r="G23" i="10"/>
  <c r="F24" i="10"/>
  <c r="G24" i="10"/>
  <c r="H24" i="10"/>
  <c r="F25" i="10"/>
  <c r="F27" i="10"/>
  <c r="F28" i="10"/>
  <c r="G28" i="10"/>
  <c r="H28" i="10"/>
  <c r="G31" i="10"/>
  <c r="H31" i="10"/>
  <c r="F32" i="10"/>
  <c r="G35" i="10"/>
  <c r="H35" i="10"/>
  <c r="F36" i="10"/>
  <c r="G36" i="10"/>
  <c r="G37" i="10"/>
  <c r="H37" i="10"/>
  <c r="F38" i="10"/>
  <c r="G38" i="10"/>
  <c r="H38" i="10"/>
  <c r="F39" i="10"/>
  <c r="G43" i="10"/>
  <c r="F44" i="10"/>
  <c r="G44" i="10"/>
  <c r="H45" i="10"/>
  <c r="F46" i="10"/>
  <c r="G46" i="10"/>
  <c r="H46" i="10"/>
  <c r="F47" i="10"/>
  <c r="B21" i="10"/>
  <c r="C21" i="10"/>
  <c r="D21" i="10"/>
  <c r="B24" i="10"/>
  <c r="C24" i="10"/>
  <c r="D26" i="10"/>
  <c r="D27" i="10"/>
  <c r="B28" i="10"/>
  <c r="B29" i="10"/>
  <c r="C29" i="10"/>
  <c r="D31" i="10"/>
  <c r="B32" i="10"/>
  <c r="C32" i="10"/>
  <c r="D32" i="10"/>
  <c r="C33" i="10"/>
  <c r="C34" i="10"/>
  <c r="D34" i="10"/>
  <c r="B35" i="10"/>
  <c r="C39" i="10"/>
  <c r="D39" i="10"/>
  <c r="D41" i="10"/>
  <c r="B42" i="10"/>
  <c r="C42" i="10"/>
  <c r="D42" i="10"/>
  <c r="B43" i="10"/>
  <c r="D43" i="10"/>
  <c r="B44" i="10"/>
  <c r="C44" i="10"/>
  <c r="D44" i="10"/>
  <c r="B45" i="10"/>
  <c r="D5" i="1"/>
  <c r="C5" i="1"/>
  <c r="B5" i="1"/>
  <c r="H21" i="4"/>
  <c r="F16" i="4"/>
  <c r="G16" i="4"/>
  <c r="H16" i="4"/>
  <c r="F20" i="4"/>
  <c r="G20" i="4"/>
  <c r="H20" i="4"/>
  <c r="F21" i="4"/>
  <c r="G21" i="4"/>
  <c r="F22" i="4"/>
  <c r="G22" i="4"/>
  <c r="H22" i="4"/>
  <c r="F23" i="4"/>
  <c r="G23" i="4"/>
  <c r="H23" i="4"/>
  <c r="F24" i="4"/>
  <c r="G27" i="4"/>
  <c r="H27" i="4"/>
  <c r="F28" i="4"/>
  <c r="H28" i="4"/>
  <c r="F29" i="4"/>
  <c r="G29" i="4"/>
  <c r="H29" i="4"/>
  <c r="F30" i="4"/>
  <c r="G30" i="4"/>
  <c r="H30" i="4"/>
  <c r="F31" i="4"/>
  <c r="H31" i="4"/>
  <c r="H34" i="4"/>
  <c r="G35" i="4"/>
  <c r="H35" i="4"/>
  <c r="F36" i="4"/>
  <c r="G36" i="4"/>
  <c r="H36" i="4"/>
  <c r="F37" i="4"/>
  <c r="G37" i="4"/>
  <c r="H37" i="4"/>
  <c r="G38" i="4"/>
  <c r="H38" i="4"/>
  <c r="F39" i="4"/>
  <c r="G42" i="4"/>
  <c r="H42" i="4"/>
  <c r="B16" i="4"/>
  <c r="C16" i="4"/>
  <c r="D16" i="4"/>
  <c r="B17" i="4"/>
  <c r="C17" i="4"/>
  <c r="B18" i="4"/>
  <c r="C18" i="4"/>
  <c r="D18" i="4"/>
  <c r="B19" i="4"/>
  <c r="C19" i="4"/>
  <c r="D22" i="4"/>
  <c r="B23" i="4"/>
  <c r="C23" i="4"/>
  <c r="D23" i="4"/>
  <c r="B24" i="4"/>
  <c r="D24" i="4"/>
  <c r="B25" i="4"/>
  <c r="C25" i="4"/>
  <c r="D25" i="4"/>
  <c r="B26" i="4"/>
  <c r="C26" i="4"/>
  <c r="D26" i="4"/>
  <c r="B30" i="4"/>
  <c r="C30" i="4"/>
  <c r="D30" i="4"/>
  <c r="C31" i="4"/>
  <c r="D31" i="4"/>
  <c r="B32" i="4"/>
  <c r="C32" i="4"/>
  <c r="D32" i="4"/>
  <c r="B33" i="4"/>
  <c r="C33" i="4"/>
  <c r="D33" i="4"/>
  <c r="B34" i="4"/>
  <c r="C37" i="4"/>
  <c r="B38" i="4"/>
  <c r="C38" i="4"/>
  <c r="D38" i="4"/>
  <c r="B39" i="4"/>
  <c r="C39" i="4"/>
  <c r="D39" i="4"/>
  <c r="B40" i="4"/>
  <c r="C40" i="4"/>
  <c r="D40" i="4"/>
  <c r="B41" i="4"/>
  <c r="D41" i="4"/>
  <c r="B37" i="4"/>
  <c r="C22" i="4"/>
  <c r="F27" i="4"/>
  <c r="C8" i="4"/>
  <c r="D36" i="4"/>
  <c r="C29" i="4"/>
  <c r="G19" i="4"/>
  <c r="D29" i="4"/>
  <c r="F42" i="4"/>
  <c r="G34" i="4"/>
  <c r="H19" i="4"/>
  <c r="H26" i="4"/>
  <c r="C9" i="4"/>
  <c r="K8" i="1" s="1"/>
  <c r="C36" i="4"/>
  <c r="B29" i="4"/>
  <c r="D21" i="4"/>
  <c r="F41" i="4"/>
  <c r="H33" i="4"/>
  <c r="G26" i="4"/>
  <c r="F19" i="4"/>
  <c r="F34" i="4"/>
  <c r="G8" i="4"/>
  <c r="J8" i="1" s="1"/>
  <c r="B36" i="4"/>
  <c r="D28" i="4"/>
  <c r="B21" i="4"/>
  <c r="H40" i="4"/>
  <c r="G33" i="4"/>
  <c r="F26" i="4"/>
  <c r="H18" i="4"/>
  <c r="G41" i="4"/>
  <c r="G9" i="4"/>
  <c r="D35" i="4"/>
  <c r="C28" i="4"/>
  <c r="D20" i="4"/>
  <c r="G40" i="4"/>
  <c r="F33" i="4"/>
  <c r="H25" i="4"/>
  <c r="G18" i="4"/>
  <c r="B22" i="4"/>
  <c r="D42" i="4"/>
  <c r="C35" i="4"/>
  <c r="D27" i="4"/>
  <c r="C20" i="4"/>
  <c r="F40" i="4"/>
  <c r="H32" i="4"/>
  <c r="G25" i="4"/>
  <c r="H17" i="4"/>
  <c r="C42" i="4"/>
  <c r="B35" i="4"/>
  <c r="C27" i="4"/>
  <c r="B20" i="4"/>
  <c r="H39" i="4"/>
  <c r="G32" i="4"/>
  <c r="F25" i="4"/>
  <c r="G17" i="4"/>
  <c r="B42" i="4"/>
  <c r="C34" i="4"/>
  <c r="B27" i="4"/>
  <c r="D19" i="4"/>
  <c r="G39" i="4"/>
  <c r="F32" i="4"/>
  <c r="G24" i="4"/>
  <c r="F17" i="4"/>
  <c r="F29" i="5"/>
  <c r="G24" i="5"/>
  <c r="F42" i="5"/>
  <c r="H42" i="5"/>
  <c r="G26" i="5"/>
  <c r="B26" i="5"/>
  <c r="G41" i="5"/>
  <c r="G39" i="5"/>
  <c r="D40" i="5"/>
  <c r="G23" i="5"/>
  <c r="F38" i="5"/>
  <c r="B39" i="5"/>
  <c r="C24" i="5"/>
  <c r="H22" i="5"/>
  <c r="B24" i="5"/>
  <c r="G22" i="5"/>
  <c r="F35" i="5"/>
  <c r="F22" i="7"/>
  <c r="H28" i="7"/>
  <c r="G35" i="7"/>
  <c r="F42" i="7"/>
  <c r="D21" i="7"/>
  <c r="C28" i="7"/>
  <c r="B35" i="7"/>
  <c r="D41" i="7"/>
  <c r="G18" i="7"/>
  <c r="F25" i="7"/>
  <c r="H31" i="7"/>
  <c r="G38" i="7"/>
  <c r="B18" i="7"/>
  <c r="D24" i="7"/>
  <c r="C31" i="7"/>
  <c r="B38" i="7"/>
  <c r="H17" i="7"/>
  <c r="G25" i="7"/>
  <c r="H32" i="7"/>
  <c r="F40" i="7"/>
  <c r="C20" i="7"/>
  <c r="D27" i="7"/>
  <c r="C35" i="7"/>
  <c r="D42" i="7"/>
  <c r="F18" i="7"/>
  <c r="H25" i="7"/>
  <c r="F33" i="7"/>
  <c r="G40" i="7"/>
  <c r="D20" i="7"/>
  <c r="B28" i="7"/>
  <c r="D35" i="7"/>
  <c r="G9" i="7"/>
  <c r="B21" i="7"/>
  <c r="G8" i="7"/>
  <c r="G41" i="7"/>
  <c r="H18" i="7"/>
  <c r="F26" i="7"/>
  <c r="G33" i="7"/>
  <c r="H40" i="7"/>
  <c r="D28" i="7"/>
  <c r="B36" i="7"/>
  <c r="G19" i="7"/>
  <c r="F34" i="7"/>
  <c r="C29" i="7"/>
  <c r="C8" i="7"/>
  <c r="F19" i="7"/>
  <c r="G26" i="7"/>
  <c r="H33" i="7"/>
  <c r="F41" i="7"/>
  <c r="C21" i="7"/>
  <c r="B29" i="7"/>
  <c r="C36" i="7"/>
  <c r="C9" i="7"/>
  <c r="K11" i="1" s="1"/>
  <c r="H26" i="7"/>
  <c r="B22" i="7"/>
  <c r="D36" i="7"/>
  <c r="H22" i="7"/>
  <c r="F32" i="7"/>
  <c r="B16" i="7"/>
  <c r="C25" i="7"/>
  <c r="C34" i="7"/>
  <c r="F23" i="7"/>
  <c r="G32" i="7"/>
  <c r="C16" i="7"/>
  <c r="D25" i="7"/>
  <c r="D34" i="7"/>
  <c r="F35" i="7"/>
  <c r="D37" i="7"/>
  <c r="G24" i="7"/>
  <c r="D17" i="7"/>
  <c r="C38" i="7"/>
  <c r="C17" i="7"/>
  <c r="G23" i="7"/>
  <c r="G34" i="7"/>
  <c r="D16" i="7"/>
  <c r="B26" i="7"/>
  <c r="B37" i="7"/>
  <c r="H23" i="7"/>
  <c r="H34" i="7"/>
  <c r="B17" i="7"/>
  <c r="C37" i="7"/>
  <c r="F24" i="7"/>
  <c r="D26" i="7"/>
  <c r="H35" i="7"/>
  <c r="B27" i="7"/>
  <c r="C26" i="7"/>
  <c r="G16" i="7"/>
  <c r="G27" i="7"/>
  <c r="H36" i="7"/>
  <c r="B19" i="7"/>
  <c r="B30" i="7"/>
  <c r="C39" i="7"/>
  <c r="H16" i="7"/>
  <c r="H27" i="7"/>
  <c r="F37" i="7"/>
  <c r="C19" i="7"/>
  <c r="C30" i="7"/>
  <c r="D39" i="7"/>
  <c r="H38" i="7"/>
  <c r="C42" i="7"/>
  <c r="D30" i="5"/>
  <c r="B30" i="5"/>
  <c r="B42" i="5"/>
  <c r="D29" i="5"/>
  <c r="D41" i="5"/>
  <c r="H41" i="5"/>
  <c r="C41" i="5"/>
  <c r="B41" i="5"/>
  <c r="B25" i="5"/>
  <c r="H37" i="5"/>
  <c r="D38" i="5"/>
  <c r="G35" i="5"/>
  <c r="D29" i="7"/>
  <c r="G21" i="7"/>
  <c r="D34" i="5"/>
  <c r="H34" i="5"/>
  <c r="C27" i="7"/>
  <c r="F21" i="7"/>
  <c r="H13" i="8"/>
  <c r="H12" i="1" s="1"/>
  <c r="C34" i="5"/>
  <c r="D22" i="5"/>
  <c r="H20" i="5"/>
  <c r="F34" i="5"/>
  <c r="C24" i="7"/>
  <c r="B41" i="7"/>
  <c r="B24" i="7"/>
  <c r="G36" i="7"/>
  <c r="F20" i="7"/>
  <c r="B33" i="5"/>
  <c r="C19" i="5"/>
  <c r="H31" i="5"/>
  <c r="F16" i="5"/>
  <c r="D40" i="7"/>
  <c r="D23" i="7"/>
  <c r="F36" i="7"/>
  <c r="H19" i="7"/>
  <c r="G31" i="7"/>
  <c r="G17" i="5"/>
  <c r="F24" i="5"/>
  <c r="H30" i="5"/>
  <c r="G37" i="5"/>
  <c r="B17" i="5"/>
  <c r="D23" i="5"/>
  <c r="C30" i="5"/>
  <c r="B37" i="5"/>
  <c r="C9" i="5"/>
  <c r="K9" i="1" s="1"/>
  <c r="G20" i="5"/>
  <c r="F27" i="5"/>
  <c r="H33" i="5"/>
  <c r="G40" i="5"/>
  <c r="B20" i="5"/>
  <c r="D26" i="5"/>
  <c r="C33" i="5"/>
  <c r="B40" i="5"/>
  <c r="H17" i="5"/>
  <c r="F25" i="5"/>
  <c r="G32" i="5"/>
  <c r="H39" i="5"/>
  <c r="C20" i="5"/>
  <c r="D27" i="5"/>
  <c r="B35" i="5"/>
  <c r="C42" i="5"/>
  <c r="F18" i="5"/>
  <c r="G25" i="5"/>
  <c r="H32" i="5"/>
  <c r="F40" i="5"/>
  <c r="D20" i="5"/>
  <c r="B28" i="5"/>
  <c r="C35" i="5"/>
  <c r="D42" i="5"/>
  <c r="G18" i="5"/>
  <c r="F33" i="5"/>
  <c r="H40" i="5"/>
  <c r="B21" i="5"/>
  <c r="C28" i="5"/>
  <c r="G9" i="5"/>
  <c r="H25" i="5"/>
  <c r="D35" i="5"/>
  <c r="H18" i="5"/>
  <c r="F26" i="5"/>
  <c r="G33" i="5"/>
  <c r="F41" i="5"/>
  <c r="C21" i="5"/>
  <c r="D28" i="5"/>
  <c r="B36" i="5"/>
  <c r="G8" i="5"/>
  <c r="G16" i="5"/>
  <c r="H26" i="5"/>
  <c r="H35" i="5"/>
  <c r="D17" i="5"/>
  <c r="C26" i="5"/>
  <c r="D36" i="5"/>
  <c r="H16" i="5"/>
  <c r="G27" i="5"/>
  <c r="F36" i="5"/>
  <c r="B18" i="5"/>
  <c r="B27" i="5"/>
  <c r="C37" i="5"/>
  <c r="F28" i="5"/>
  <c r="G28" i="5"/>
  <c r="B19" i="5"/>
  <c r="C38" i="5"/>
  <c r="F17" i="5"/>
  <c r="H27" i="5"/>
  <c r="G36" i="5"/>
  <c r="C18" i="5"/>
  <c r="C27" i="5"/>
  <c r="F19" i="5"/>
  <c r="H36" i="5"/>
  <c r="D18" i="5"/>
  <c r="B29" i="5"/>
  <c r="B38" i="5"/>
  <c r="G19" i="5"/>
  <c r="F37" i="5"/>
  <c r="C29" i="5"/>
  <c r="F21" i="5"/>
  <c r="H29" i="5"/>
  <c r="H38" i="5"/>
  <c r="B22" i="5"/>
  <c r="B31" i="5"/>
  <c r="D39" i="5"/>
  <c r="G21" i="5"/>
  <c r="F30" i="5"/>
  <c r="F39" i="5"/>
  <c r="C22" i="5"/>
  <c r="C31" i="5"/>
  <c r="C40" i="5"/>
  <c r="C8" i="5"/>
  <c r="G42" i="5"/>
  <c r="H24" i="5"/>
  <c r="D25" i="5"/>
  <c r="C25" i="5"/>
  <c r="H23" i="5"/>
  <c r="G38" i="5"/>
  <c r="C39" i="5"/>
  <c r="D24" i="5"/>
  <c r="F23" i="5"/>
  <c r="C36" i="5"/>
  <c r="C23" i="5"/>
  <c r="F22" i="5"/>
  <c r="B23" i="5"/>
  <c r="H21" i="5"/>
  <c r="F38" i="7"/>
  <c r="G34" i="5"/>
  <c r="B42" i="7"/>
  <c r="B25" i="7"/>
  <c r="H37" i="7"/>
  <c r="H20" i="7"/>
  <c r="B34" i="5"/>
  <c r="D21" i="5"/>
  <c r="F20" i="5"/>
  <c r="G20" i="7"/>
  <c r="D33" i="5"/>
  <c r="D19" i="5"/>
  <c r="F32" i="5"/>
  <c r="H19" i="5"/>
  <c r="C17" i="5"/>
  <c r="G31" i="5"/>
  <c r="G26" i="6"/>
  <c r="F33" i="6"/>
  <c r="H39" i="6"/>
  <c r="B26" i="6"/>
  <c r="D32" i="6"/>
  <c r="C39" i="6"/>
  <c r="F16" i="6"/>
  <c r="G29" i="6"/>
  <c r="F36" i="6"/>
  <c r="H42" i="6"/>
  <c r="B29" i="6"/>
  <c r="D35" i="6"/>
  <c r="C42" i="6"/>
  <c r="G21" i="6"/>
  <c r="G36" i="6"/>
  <c r="B24" i="6"/>
  <c r="C31" i="6"/>
  <c r="D38" i="6"/>
  <c r="F29" i="6"/>
  <c r="H36" i="6"/>
  <c r="B17" i="6"/>
  <c r="D31" i="6"/>
  <c r="B39" i="6"/>
  <c r="H29" i="6"/>
  <c r="F22" i="6"/>
  <c r="F37" i="6"/>
  <c r="A13" i="6"/>
  <c r="H13" i="6" s="1"/>
  <c r="H10" i="1" s="1"/>
  <c r="B32" i="6"/>
  <c r="D39" i="6"/>
  <c r="H37" i="6"/>
  <c r="G22" i="6"/>
  <c r="F30" i="6"/>
  <c r="G37" i="6"/>
  <c r="B25" i="6"/>
  <c r="C32" i="6"/>
  <c r="B40" i="6"/>
  <c r="F17" i="6"/>
  <c r="H25" i="6"/>
  <c r="H34" i="6"/>
  <c r="C27" i="6"/>
  <c r="C36" i="6"/>
  <c r="G17" i="6"/>
  <c r="F26" i="6"/>
  <c r="F35" i="6"/>
  <c r="D36" i="6"/>
  <c r="G27" i="6"/>
  <c r="G38" i="6"/>
  <c r="C29" i="6"/>
  <c r="G35" i="6"/>
  <c r="B19" i="6"/>
  <c r="B28" i="6"/>
  <c r="B37" i="6"/>
  <c r="F18" i="6"/>
  <c r="F27" i="6"/>
  <c r="H35" i="6"/>
  <c r="C28" i="6"/>
  <c r="C37" i="6"/>
  <c r="G18" i="6"/>
  <c r="F38" i="6"/>
  <c r="B20" i="6"/>
  <c r="D37" i="6"/>
  <c r="F20" i="6"/>
  <c r="G30" i="6"/>
  <c r="G39" i="6"/>
  <c r="C30" i="6"/>
  <c r="D40" i="6"/>
  <c r="G20" i="6"/>
  <c r="H30" i="6"/>
  <c r="F40" i="6"/>
  <c r="D30" i="6"/>
  <c r="B41" i="6"/>
  <c r="B33" i="6"/>
  <c r="F42" i="6"/>
  <c r="G25" i="6"/>
  <c r="C40" i="7"/>
  <c r="C23" i="7"/>
  <c r="G17" i="7"/>
  <c r="C32" i="5"/>
  <c r="D16" i="5"/>
  <c r="F31" i="5"/>
  <c r="C8" i="6"/>
  <c r="B31" i="6"/>
  <c r="H41" i="6"/>
  <c r="F25" i="6"/>
  <c r="B40" i="7"/>
  <c r="B23" i="7"/>
  <c r="F31" i="7"/>
  <c r="F17" i="7"/>
  <c r="H30" i="7"/>
  <c r="C41" i="7"/>
  <c r="G37" i="7"/>
  <c r="B32" i="5"/>
  <c r="C16" i="5"/>
  <c r="G30" i="5"/>
  <c r="B39" i="7"/>
  <c r="D22" i="7"/>
  <c r="F16" i="7"/>
  <c r="D31" i="5"/>
  <c r="B16" i="5"/>
  <c r="G29" i="5"/>
  <c r="G8" i="6"/>
  <c r="D29" i="6"/>
  <c r="F41" i="6"/>
  <c r="G24" i="6"/>
  <c r="D38" i="7"/>
  <c r="C22" i="7"/>
  <c r="G30" i="7"/>
  <c r="F16" i="13"/>
  <c r="H22" i="13"/>
  <c r="G29" i="13"/>
  <c r="F36" i="13"/>
  <c r="H42" i="13"/>
  <c r="C22" i="13"/>
  <c r="B29" i="13"/>
  <c r="D35" i="13"/>
  <c r="C42" i="13"/>
  <c r="G16" i="13"/>
  <c r="F23" i="13"/>
  <c r="H29" i="13"/>
  <c r="G36" i="13"/>
  <c r="B16" i="13"/>
  <c r="D22" i="13"/>
  <c r="C29" i="13"/>
  <c r="B36" i="13"/>
  <c r="D42" i="13"/>
  <c r="F19" i="13"/>
  <c r="H25" i="13"/>
  <c r="G32" i="13"/>
  <c r="F39" i="13"/>
  <c r="D18" i="13"/>
  <c r="C25" i="13"/>
  <c r="B32" i="13"/>
  <c r="D38" i="13"/>
  <c r="G19" i="13"/>
  <c r="F26" i="13"/>
  <c r="H32" i="13"/>
  <c r="G39" i="13"/>
  <c r="B19" i="13"/>
  <c r="D25" i="13"/>
  <c r="C32" i="13"/>
  <c r="B39" i="13"/>
  <c r="H16" i="13"/>
  <c r="H24" i="13"/>
  <c r="G33" i="13"/>
  <c r="G41" i="13"/>
  <c r="B23" i="13"/>
  <c r="B31" i="13"/>
  <c r="D39" i="13"/>
  <c r="F17" i="13"/>
  <c r="F25" i="13"/>
  <c r="H33" i="13"/>
  <c r="H41" i="13"/>
  <c r="C23" i="13"/>
  <c r="C31" i="13"/>
  <c r="B40" i="13"/>
  <c r="G17" i="13"/>
  <c r="G25" i="13"/>
  <c r="F34" i="13"/>
  <c r="F42" i="13"/>
  <c r="D23" i="13"/>
  <c r="D31" i="13"/>
  <c r="C40" i="13"/>
  <c r="H17" i="13"/>
  <c r="G26" i="13"/>
  <c r="G34" i="13"/>
  <c r="G42" i="13"/>
  <c r="B24" i="13"/>
  <c r="D32" i="13"/>
  <c r="D40" i="13"/>
  <c r="F18" i="13"/>
  <c r="H26" i="13"/>
  <c r="H34" i="13"/>
  <c r="C16" i="13"/>
  <c r="C24" i="13"/>
  <c r="B33" i="13"/>
  <c r="B41" i="13"/>
  <c r="G20" i="13"/>
  <c r="G28" i="13"/>
  <c r="F37" i="13"/>
  <c r="B18" i="13"/>
  <c r="D26" i="13"/>
  <c r="D34" i="13"/>
  <c r="G8" i="13"/>
  <c r="J17" i="1" s="1"/>
  <c r="C33" i="13"/>
  <c r="C20" i="13"/>
  <c r="H35" i="13"/>
  <c r="G23" i="13"/>
  <c r="C36" i="9"/>
  <c r="D23" i="9"/>
  <c r="H40" i="9"/>
  <c r="F30" i="9"/>
  <c r="H17" i="9"/>
  <c r="B41" i="10"/>
  <c r="D28" i="10"/>
  <c r="G45" i="10"/>
  <c r="H32" i="10"/>
  <c r="H22" i="10"/>
  <c r="C8" i="13"/>
  <c r="D30" i="13"/>
  <c r="B20" i="13"/>
  <c r="G35" i="13"/>
  <c r="G22" i="13"/>
  <c r="D35" i="9"/>
  <c r="C23" i="9"/>
  <c r="H39" i="9"/>
  <c r="G29" i="9"/>
  <c r="G17" i="9"/>
  <c r="B40" i="10"/>
  <c r="C28" i="10"/>
  <c r="F45" i="10"/>
  <c r="G32" i="10"/>
  <c r="G22" i="10"/>
  <c r="C9" i="13"/>
  <c r="K17" i="1" s="1"/>
  <c r="C30" i="13"/>
  <c r="D19" i="13"/>
  <c r="F35" i="13"/>
  <c r="F22" i="13"/>
  <c r="G9" i="13"/>
  <c r="B30" i="13"/>
  <c r="C19" i="13"/>
  <c r="F33" i="13"/>
  <c r="H21" i="13"/>
  <c r="H30" i="10"/>
  <c r="C39" i="13"/>
  <c r="B28" i="13"/>
  <c r="B17" i="13"/>
  <c r="F31" i="13"/>
  <c r="F20" i="13"/>
  <c r="D41" i="13"/>
  <c r="H31" i="13"/>
  <c r="F20" i="9"/>
  <c r="H26" i="9"/>
  <c r="G33" i="9"/>
  <c r="F40" i="9"/>
  <c r="D19" i="9"/>
  <c r="C26" i="9"/>
  <c r="B33" i="9"/>
  <c r="D39" i="9"/>
  <c r="G20" i="9"/>
  <c r="F27" i="9"/>
  <c r="H33" i="9"/>
  <c r="G40" i="9"/>
  <c r="B20" i="9"/>
  <c r="D26" i="9"/>
  <c r="C33" i="9"/>
  <c r="B40" i="9"/>
  <c r="G16" i="9"/>
  <c r="F23" i="9"/>
  <c r="H29" i="9"/>
  <c r="G36" i="9"/>
  <c r="B16" i="9"/>
  <c r="D22" i="9"/>
  <c r="C29" i="9"/>
  <c r="B36" i="9"/>
  <c r="D42" i="9"/>
  <c r="G19" i="9"/>
  <c r="H27" i="9"/>
  <c r="G35" i="9"/>
  <c r="C16" i="9"/>
  <c r="B24" i="9"/>
  <c r="D31" i="9"/>
  <c r="C39" i="9"/>
  <c r="H19" i="9"/>
  <c r="F28" i="9"/>
  <c r="H35" i="9"/>
  <c r="D16" i="9"/>
  <c r="C24" i="9"/>
  <c r="B32" i="9"/>
  <c r="C40" i="9"/>
  <c r="H20" i="9"/>
  <c r="G28" i="9"/>
  <c r="F36" i="9"/>
  <c r="B17" i="9"/>
  <c r="D24" i="9"/>
  <c r="C32" i="9"/>
  <c r="D40" i="9"/>
  <c r="F21" i="9"/>
  <c r="H28" i="9"/>
  <c r="H36" i="9"/>
  <c r="C17" i="9"/>
  <c r="B25" i="9"/>
  <c r="D32" i="9"/>
  <c r="B41" i="9"/>
  <c r="G21" i="9"/>
  <c r="F29" i="9"/>
  <c r="F37" i="9"/>
  <c r="D17" i="9"/>
  <c r="C25" i="9"/>
  <c r="D33" i="9"/>
  <c r="C41" i="9"/>
  <c r="G23" i="9"/>
  <c r="F31" i="9"/>
  <c r="H38" i="9"/>
  <c r="C19" i="9"/>
  <c r="D27" i="9"/>
  <c r="C35" i="9"/>
  <c r="G8" i="9"/>
  <c r="B34" i="9"/>
  <c r="D21" i="9"/>
  <c r="F38" i="9"/>
  <c r="H25" i="9"/>
  <c r="B37" i="10"/>
  <c r="C26" i="10"/>
  <c r="F31" i="10"/>
  <c r="G31" i="13"/>
  <c r="C8" i="9"/>
  <c r="C31" i="9"/>
  <c r="C21" i="9"/>
  <c r="G25" i="9"/>
  <c r="C9" i="10"/>
  <c r="K14" i="1" s="1"/>
  <c r="C36" i="10"/>
  <c r="B26" i="10"/>
  <c r="G40" i="10"/>
  <c r="C9" i="9"/>
  <c r="K13" i="1" s="1"/>
  <c r="B31" i="9"/>
  <c r="B21" i="9"/>
  <c r="G37" i="9"/>
  <c r="F25" i="9"/>
  <c r="G8" i="10"/>
  <c r="B36" i="10"/>
  <c r="D25" i="10"/>
  <c r="F40" i="10"/>
  <c r="F30" i="10"/>
  <c r="G20" i="12"/>
  <c r="F27" i="12"/>
  <c r="H33" i="12"/>
  <c r="G40" i="12"/>
  <c r="B20" i="12"/>
  <c r="C33" i="12"/>
  <c r="B40" i="12"/>
  <c r="G27" i="12"/>
  <c r="F34" i="12"/>
  <c r="H40" i="12"/>
  <c r="C20" i="12"/>
  <c r="B27" i="12"/>
  <c r="C40" i="12"/>
  <c r="G23" i="12"/>
  <c r="F30" i="12"/>
  <c r="H36" i="12"/>
  <c r="C16" i="12"/>
  <c r="B23" i="12"/>
  <c r="C36" i="12"/>
  <c r="G9" i="12"/>
  <c r="F17" i="12"/>
  <c r="G30" i="12"/>
  <c r="F37" i="12"/>
  <c r="C23" i="12"/>
  <c r="B30" i="12"/>
  <c r="G8" i="12"/>
  <c r="F19" i="12"/>
  <c r="H35" i="12"/>
  <c r="C17" i="12"/>
  <c r="C25" i="12"/>
  <c r="B34" i="12"/>
  <c r="B42" i="12"/>
  <c r="G19" i="12"/>
  <c r="F28" i="12"/>
  <c r="F36" i="12"/>
  <c r="C34" i="12"/>
  <c r="C42" i="12"/>
  <c r="G28" i="12"/>
  <c r="G36" i="12"/>
  <c r="B18" i="12"/>
  <c r="B26" i="12"/>
  <c r="F20" i="12"/>
  <c r="G37" i="12"/>
  <c r="C18" i="12"/>
  <c r="C26" i="12"/>
  <c r="B35" i="12"/>
  <c r="C9" i="12"/>
  <c r="K16" i="1" s="1"/>
  <c r="F21" i="12"/>
  <c r="F29" i="12"/>
  <c r="H37" i="12"/>
  <c r="C27" i="12"/>
  <c r="C35" i="12"/>
  <c r="C8" i="12"/>
  <c r="G31" i="12"/>
  <c r="G39" i="12"/>
  <c r="B21" i="12"/>
  <c r="B29" i="12"/>
  <c r="C31" i="12"/>
  <c r="G34" i="12"/>
  <c r="F23" i="12"/>
  <c r="C38" i="13"/>
  <c r="D27" i="13"/>
  <c r="D16" i="13"/>
  <c r="H30" i="13"/>
  <c r="H19" i="13"/>
  <c r="B38" i="13"/>
  <c r="C27" i="13"/>
  <c r="F41" i="13"/>
  <c r="G30" i="13"/>
  <c r="H18" i="13"/>
  <c r="D28" i="13"/>
  <c r="D17" i="13"/>
  <c r="F21" i="13"/>
  <c r="G27" i="10"/>
  <c r="F34" i="10"/>
  <c r="H40" i="10"/>
  <c r="G47" i="10"/>
  <c r="B27" i="10"/>
  <c r="D33" i="10"/>
  <c r="C40" i="10"/>
  <c r="B47" i="10"/>
  <c r="F21" i="10"/>
  <c r="H27" i="10"/>
  <c r="G34" i="10"/>
  <c r="F41" i="10"/>
  <c r="H47" i="10"/>
  <c r="B34" i="10"/>
  <c r="D40" i="10"/>
  <c r="C47" i="10"/>
  <c r="H23" i="10"/>
  <c r="G30" i="10"/>
  <c r="F37" i="10"/>
  <c r="H43" i="10"/>
  <c r="C23" i="10"/>
  <c r="B30" i="10"/>
  <c r="D36" i="10"/>
  <c r="C43" i="10"/>
  <c r="G25" i="10"/>
  <c r="F33" i="10"/>
  <c r="G41" i="10"/>
  <c r="B22" i="10"/>
  <c r="D29" i="10"/>
  <c r="D37" i="10"/>
  <c r="C45" i="10"/>
  <c r="H25" i="10"/>
  <c r="G33" i="10"/>
  <c r="H41" i="10"/>
  <c r="C22" i="10"/>
  <c r="C30" i="10"/>
  <c r="B38" i="10"/>
  <c r="D45" i="10"/>
  <c r="F26" i="10"/>
  <c r="H33" i="10"/>
  <c r="F42" i="10"/>
  <c r="D22" i="10"/>
  <c r="D30" i="10"/>
  <c r="C38" i="10"/>
  <c r="B46" i="10"/>
  <c r="G26" i="10"/>
  <c r="H34" i="10"/>
  <c r="G42" i="10"/>
  <c r="B23" i="10"/>
  <c r="B31" i="10"/>
  <c r="D38" i="10"/>
  <c r="C46" i="10"/>
  <c r="H26" i="10"/>
  <c r="F35" i="10"/>
  <c r="H42" i="10"/>
  <c r="D23" i="10"/>
  <c r="C31" i="10"/>
  <c r="B39" i="10"/>
  <c r="D46" i="10"/>
  <c r="G21" i="10"/>
  <c r="F29" i="10"/>
  <c r="H36" i="10"/>
  <c r="H44" i="10"/>
  <c r="B33" i="10"/>
  <c r="C41" i="10"/>
  <c r="C8" i="10"/>
  <c r="F43" i="10"/>
  <c r="C41" i="13"/>
  <c r="C28" i="13"/>
  <c r="C17" i="13"/>
  <c r="H20" i="13"/>
  <c r="G9" i="9"/>
  <c r="D30" i="9"/>
  <c r="D20" i="9"/>
  <c r="F35" i="9"/>
  <c r="H24" i="9"/>
  <c r="G9" i="10"/>
  <c r="D35" i="10"/>
  <c r="B25" i="10"/>
  <c r="H29" i="10"/>
  <c r="C42" i="9"/>
  <c r="C30" i="9"/>
  <c r="C20" i="9"/>
  <c r="H34" i="9"/>
  <c r="G24" i="9"/>
  <c r="D47" i="10"/>
  <c r="C35" i="10"/>
  <c r="D24" i="10"/>
  <c r="G39" i="10"/>
  <c r="G29" i="10"/>
  <c r="C41" i="12"/>
  <c r="B19" i="12"/>
  <c r="F33" i="12"/>
  <c r="F22" i="12"/>
  <c r="D37" i="13"/>
  <c r="B27" i="13"/>
  <c r="H40" i="13"/>
  <c r="F30" i="13"/>
  <c r="G18" i="13"/>
  <c r="D37" i="4"/>
  <c r="B31" i="4"/>
  <c r="D17" i="4"/>
  <c r="F38" i="4"/>
  <c r="G31" i="4"/>
  <c r="H24" i="4"/>
  <c r="F18" i="4"/>
  <c r="C40" i="8"/>
  <c r="D33" i="8"/>
  <c r="B27" i="8"/>
  <c r="C20" i="8"/>
  <c r="H40" i="8"/>
  <c r="F34" i="8"/>
  <c r="G27" i="8"/>
  <c r="H20" i="8"/>
  <c r="B34" i="11"/>
  <c r="C27" i="11"/>
  <c r="F41" i="11"/>
  <c r="G34" i="11"/>
  <c r="H27" i="11"/>
  <c r="F21" i="11"/>
  <c r="D37" i="8"/>
  <c r="B31" i="8"/>
  <c r="C24" i="8"/>
  <c r="D17" i="8"/>
  <c r="F38" i="8"/>
  <c r="G31" i="8"/>
  <c r="H24" i="8"/>
  <c r="F18" i="8"/>
  <c r="B38" i="11"/>
  <c r="C31" i="11"/>
  <c r="B18" i="11"/>
  <c r="G38" i="11"/>
  <c r="H31" i="11"/>
  <c r="F25" i="11"/>
  <c r="G18" i="11"/>
  <c r="C41" i="4"/>
  <c r="D34" i="4"/>
  <c r="B28" i="4"/>
  <c r="C21" i="4"/>
  <c r="H41" i="4"/>
  <c r="F35" i="4"/>
  <c r="G28" i="4"/>
  <c r="C8" i="8"/>
  <c r="C37" i="8"/>
  <c r="D30" i="8"/>
  <c r="B24" i="8"/>
  <c r="C17" i="8"/>
  <c r="A13" i="8" s="1"/>
  <c r="H37" i="8"/>
  <c r="F31" i="8"/>
  <c r="G24" i="8"/>
  <c r="B31" i="11"/>
  <c r="C24" i="11"/>
  <c r="A13" i="11" s="1"/>
  <c r="H13" i="11" s="1"/>
  <c r="H15" i="1" s="1"/>
  <c r="F38" i="11"/>
  <c r="G31" i="11"/>
  <c r="H24" i="11"/>
  <c r="G13" i="4"/>
  <c r="I14" i="1"/>
  <c r="I11" i="1"/>
  <c r="G13" i="13"/>
  <c r="F5" i="1"/>
  <c r="A18" i="10" l="1"/>
  <c r="H18" i="10" s="1"/>
  <c r="I18" i="10" s="1"/>
  <c r="L14" i="1" s="1"/>
  <c r="A13" i="4"/>
  <c r="H13" i="4" s="1"/>
  <c r="I13" i="4" s="1"/>
  <c r="L8" i="1" s="1"/>
  <c r="J16" i="1"/>
  <c r="G13" i="12"/>
  <c r="J13" i="1"/>
  <c r="G13" i="9"/>
  <c r="A13" i="13"/>
  <c r="H13" i="13" s="1"/>
  <c r="A13" i="5"/>
  <c r="H13" i="5" s="1"/>
  <c r="H9" i="1" s="1"/>
  <c r="G13" i="7"/>
  <c r="J11" i="1"/>
  <c r="A13" i="12"/>
  <c r="H13" i="12" s="1"/>
  <c r="H16" i="1" s="1"/>
  <c r="G13" i="5"/>
  <c r="J9" i="1"/>
  <c r="G13" i="6"/>
  <c r="J10" i="1"/>
  <c r="A13" i="7"/>
  <c r="H13" i="7" s="1"/>
  <c r="I13" i="7" s="1"/>
  <c r="L11" i="1" s="1"/>
  <c r="J14" i="1"/>
  <c r="G18" i="10"/>
  <c r="A13" i="9"/>
  <c r="H13" i="9" s="1"/>
  <c r="H13" i="1" s="1"/>
  <c r="H14" i="1"/>
  <c r="I13" i="5"/>
  <c r="L9" i="1" s="1"/>
  <c r="I13" i="6"/>
  <c r="L10" i="1" s="1"/>
  <c r="I13" i="13"/>
  <c r="L17" i="1" s="1"/>
  <c r="H17" i="1"/>
  <c r="I13" i="8"/>
  <c r="L12" i="1" s="1"/>
  <c r="I13" i="11"/>
  <c r="L15" i="1" s="1"/>
  <c r="H8" i="1"/>
  <c r="I13" i="9" l="1"/>
  <c r="L13" i="1" s="1"/>
  <c r="I13" i="12"/>
  <c r="L16" i="1" s="1"/>
  <c r="H11" i="1"/>
  <c r="E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thanhnha</author>
  </authors>
  <commentList>
    <comment ref="L4" authorId="0" shapeId="0" xr:uid="{1A196505-27CD-4C9D-A3E0-A150ABA9B173}">
      <text>
        <r>
          <rPr>
            <b/>
            <sz val="9"/>
            <color indexed="81"/>
            <rFont val="Tahoma"/>
            <charset val="1"/>
          </rPr>
          <t>thanhnha:</t>
        </r>
        <r>
          <rPr>
            <sz val="9"/>
            <color indexed="81"/>
            <rFont val="Tahoma"/>
            <charset val="1"/>
          </rPr>
          <t xml:space="preserve">
Ô hỗ trợ tự động: quy đổi các lựa chọn ghép (Dự án + Đồ án / Dự án + Khóa luận) về 'Dự án CNTT' để checklist hiển thị đúng nội dung SDN/SD-WAN. Không cần chỉnh sửa ô này.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tc={12B71A7F-8511-4632-9CFA-DFBAD706806D}</author>
  </authors>
  <commentList>
    <comment ref="L4" authorId="0" shapeId="0" xr:uid="{12B71A7F-8511-4632-9CFA-DFBAD706806D}">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tc={13583B79-4FAE-42C2-885B-ADCA4909E4BB}</author>
  </authors>
  <commentList>
    <comment ref="L4" authorId="0" shapeId="0" xr:uid="{13583B79-4FAE-42C2-885B-ADCA4909E4BB}">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tc={4C4BCBD0-8FAF-409F-A22A-9167E8D1492C}</author>
  </authors>
  <commentList>
    <comment ref="L4" authorId="0" shapeId="0" xr:uid="{4C4BCBD0-8FAF-409F-A22A-9167E8D1492C}">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tc={376F46FF-34DE-41AC-93DF-DB852CE29C3D}</author>
  </authors>
  <commentList>
    <comment ref="L4" authorId="0" shapeId="0" xr:uid="{376F46FF-34DE-41AC-93DF-DB852CE29C3D}">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tc={04419F7D-0698-4825-B85D-F4B32283EC60}</author>
  </authors>
  <commentList>
    <comment ref="L4" authorId="0" shapeId="0" xr:uid="{04419F7D-0698-4825-B85D-F4B32283EC60}">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tc={BEFC3489-B158-4423-9747-641176FE564D}</author>
  </authors>
  <commentList>
    <comment ref="L4" authorId="0" shapeId="0" xr:uid="{BEFC3489-B158-4423-9747-641176FE564D}">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tc={A11CFC86-D897-4E5D-B18C-8A7C9E09A32C}</author>
  </authors>
  <commentList>
    <comment ref="L4" authorId="0" shapeId="0" xr:uid="{A11CFC86-D897-4E5D-B18C-8A7C9E09A32C}">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tc={E459728E-2430-4312-99CC-36BC9664855C}</author>
  </authors>
  <commentList>
    <comment ref="L4" authorId="0" shapeId="0" xr:uid="{E459728E-2430-4312-99CC-36BC9664855C}">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tc={BBFA5374-E37E-4A3C-8A11-9A3CBBBCCDD8}</author>
  </authors>
  <commentList>
    <comment ref="L4" authorId="0" shapeId="0" xr:uid="{BBFA5374-E37E-4A3C-8A11-9A3CBBBCCDD8}">
      <text>
        <t>[Threaded comment]
Your version of Excel allows you to read this threaded comment; however, any edits to it will get removed if the file is opened in a newer version of Excel. Learn more: https://go.microsoft.com/fwlink/?linkid=870924
Comment:
    Ô hỗ trợ tự động: quy đổi các lựa chọn ghép (Dự án + Đồ án / Dự án + Khóa luận) về 'Dự án CNTT' để checklist hiển thị đúng nội dung SDN/SD-WAN. Không cần chỉnh sửa ô này.</t>
      </text>
    </comment>
  </commentList>
</comments>
</file>

<file path=xl/sharedStrings.xml><?xml version="1.0" encoding="utf-8"?>
<sst xmlns="http://schemas.openxmlformats.org/spreadsheetml/2006/main" count="2027" uniqueCount="732">
  <si>
    <t>DASHBOARD TỔNG QUAN THEO DÕI TIẾN ĐỘ (HK1/2026-2027)</t>
  </si>
  <si>
    <t>Giảng viên hướng dẫn: ThS. Lê Viết Thanh | Khoa Công nghệ Thông tin - Trường Đại học Tôn Đức Thắng</t>
  </si>
  <si>
    <t>TỔNG SỐ NHÓM</t>
  </si>
  <si>
    <t>NHÓM DỰ ÁN CNTT</t>
  </si>
  <si>
    <t>NHÓM ĐỒ ÁN TN</t>
  </si>
  <si>
    <t>NHÓM KHÓA LUẬN</t>
  </si>
  <si>
    <t>TIẾN ĐỘ TRUNG BÌNH</t>
  </si>
  <si>
    <t>TỔNG TASK HOÀN TẤT</t>
  </si>
  <si>
    <t>STT</t>
  </si>
  <si>
    <t>Mã Sheet Nhóm</t>
  </si>
  <si>
    <t>Tên Đề Tài / Dự Án</t>
  </si>
  <si>
    <t>Loại Hình Đề Tài</t>
  </si>
  <si>
    <t>Thành Viên 1</t>
  </si>
  <si>
    <t>Thành Viên 2</t>
  </si>
  <si>
    <t>GV Hướng Dẫn</t>
  </si>
  <si>
    <t>% Tiến Độ</t>
  </si>
  <si>
    <t>Đã Xong</t>
  </si>
  <si>
    <t>Báo Cáo Sạch</t>
  </si>
  <si>
    <t>Deadline Nộp</t>
  </si>
  <si>
    <t>Trạng Thái</t>
  </si>
  <si>
    <t>13/09/2026</t>
  </si>
  <si>
    <t>19/09/2026</t>
  </si>
  <si>
    <t>27/09/2026</t>
  </si>
  <si>
    <t>Nhom_01</t>
  </si>
  <si>
    <t>x</t>
  </si>
  <si>
    <t>Nhom_02</t>
  </si>
  <si>
    <t>Nhom_03</t>
  </si>
  <si>
    <t>Nhom_04</t>
  </si>
  <si>
    <t>Nhom_05</t>
  </si>
  <si>
    <t>Nhom_06</t>
  </si>
  <si>
    <t>Nhom_07</t>
  </si>
  <si>
    <t>XP</t>
  </si>
  <si>
    <t>Nhom_08</t>
  </si>
  <si>
    <t>Nhom_09</t>
  </si>
  <si>
    <t>Nhom_10</t>
  </si>
  <si>
    <t>BẢNG DỮ LIỆU CHUẨN KẾ HOẠCH DỰ ÁN - ĐỒ ÁN - KHÓA LUẬN (HK1/2026-2027)</t>
  </si>
  <si>
    <t>Khoa Công nghệ Thông tin - Trường Đại học Tôn Đức Thắng | GVHD: ThS. Lê Viết Thanh</t>
  </si>
  <si>
    <t>LOẠI HÌNH ĐỀ TÀI</t>
  </si>
  <si>
    <t>NGÀY BẮT ĐẦU</t>
  </si>
  <si>
    <t>BÁO CÁO GIỮA KỲ</t>
  </si>
  <si>
    <t>BÁO CÁO SẠCH</t>
  </si>
  <si>
    <t>DEADLINE NỘP CUỐI KỲ</t>
  </si>
  <si>
    <t>THỜI GIAN DỰ PHÒNG</t>
  </si>
  <si>
    <t>LỊCH BẢO VỆ / PHẢN BIỆN</t>
  </si>
  <si>
    <t>HÌNH THỨC ĐÁNH GIÁ</t>
  </si>
  <si>
    <t>Dự án CNTT</t>
  </si>
  <si>
    <t>2026-08-24</t>
  </si>
  <si>
    <t>20/09/2026 – 04/10/2026</t>
  </si>
  <si>
    <t>2026-11-20</t>
  </si>
  <si>
    <t>2026-12-04</t>
  </si>
  <si>
    <t>21/11/2026 – 04/12/2026</t>
  </si>
  <si>
    <t>26/12/2026 – 31/12/2026</t>
  </si>
  <si>
    <t>Báo cáo trực tiếp GVPB + Nhập Rubric</t>
  </si>
  <si>
    <t>Đồ án tốt nghiệp</t>
  </si>
  <si>
    <t>2026-12-10</t>
  </si>
  <si>
    <t>2026-12-27</t>
  </si>
  <si>
    <t>11/12/2026 – 27/12/2026</t>
  </si>
  <si>
    <t>13/01/2027 – 18/01/2027</t>
  </si>
  <si>
    <t>Bảo vệ trước Hội đồng ĐATN Khoa CNTT</t>
  </si>
  <si>
    <t>Khóa luận tốt nghiệp</t>
  </si>
  <si>
    <t>2026-08-06</t>
  </si>
  <si>
    <t>29/10/2026 – 12/11/2026</t>
  </si>
  <si>
    <t>2027-01-05</t>
  </si>
  <si>
    <t>2027-01-25</t>
  </si>
  <si>
    <t>06/01/2027 – 25/01/2027</t>
  </si>
  <si>
    <t>03/03/2027 – 06/03/2027</t>
  </si>
  <si>
    <t>Bảo vệ trước Hội đồng KLTN cấp Trường/Khoa</t>
  </si>
  <si>
    <t>DANH MỤC 27 HẠNG MỤC CHI TIẾT THEO TỪNG LOẠI HÌNH</t>
  </si>
  <si>
    <t>Mã Tra Cứu (Key)</t>
  </si>
  <si>
    <t>Loại Hình</t>
  </si>
  <si>
    <t>Giai Đoạn</t>
  </si>
  <si>
    <t>Hạng Mục Công Việc</t>
  </si>
  <si>
    <t>Nội Dung Chi Tiết Thực Hiện</t>
  </si>
  <si>
    <t>Bắt Đầu</t>
  </si>
  <si>
    <t>Hạn Hoàn Thành</t>
  </si>
  <si>
    <t>Kết Quả Đầu Ra Gợi Ý</t>
  </si>
  <si>
    <t>Mốc Đặc Biệt</t>
  </si>
  <si>
    <t>Dự án CNTT_1</t>
  </si>
  <si>
    <t>I. ĐỊNH HƯỚNG &amp; PHƯƠNG PHÁP LUẬN</t>
  </si>
  <si>
    <t>Xác định bài toán mạng &amp; mục tiêu dự án SDN/SD-WAN</t>
  </si>
  <si>
    <t>Vấn đề mạng cần giải quyết (định tuyến, QoS, giám sát, bảo mật...); phạm vi topology thử nghiệm</t>
  </si>
  <si>
    <t>2026-08-28</t>
  </si>
  <si>
    <t>Tuyên bố bài toán + Phạm vi triển khai SDN/SD-WAN v1</t>
  </si>
  <si>
    <t>Dự án CNTT_2</t>
  </si>
  <si>
    <t>Khảo sát kiến trúc SDN/SD-WAN &amp; giải pháp liên quan</t>
  </si>
  <si>
    <t>Kiến trúc SDN (control/data plane, OpenFlow), nền tảng SD-WAN thương mại/mã nguồn mở</t>
  </si>
  <si>
    <t>2026-09-02</t>
  </si>
  <si>
    <t>Bảng khảo sát Related Work + So sánh giải pháp SDN/SD-WAN hiện có</t>
  </si>
  <si>
    <t>Dự án CNTT_3</t>
  </si>
  <si>
    <t>Chọn SDN controller, công cụ mô phỏng &amp; kiến trúc hệ thống</t>
  </si>
  <si>
    <t>Controller (ONOS/Ryu/OpenDaylight), công cụ mô phỏng (Mininet/Containerlab/GNS3), giao thức điều khiển</t>
  </si>
  <si>
    <t>2026-09-05</t>
  </si>
  <si>
    <t>Sơ đồ kiến trúc tổng thể mạng + Tech stack specification</t>
  </si>
  <si>
    <t>Dự án CNTT_4</t>
  </si>
  <si>
    <t>Lập kế hoạch công việc, phân công &amp; quản trị rủi ro</t>
  </si>
  <si>
    <t>WBS: dựng testbed, lập trình controller, kiểm thử định tuyến; Git repo &amp; quy ước làm việc</t>
  </si>
  <si>
    <t>2026-08-30</t>
  </si>
  <si>
    <t>WBS Backlog + Git repo setup + Quy ước làm việc</t>
  </si>
  <si>
    <t>Dự án CNTT_5</t>
  </si>
  <si>
    <t>II. THIẾT KẾ &amp; CHUẨN BỊ</t>
  </si>
  <si>
    <t>Thiết kế topology mạng thử nghiệm &amp; luồng điều khiển</t>
  </si>
  <si>
    <t>Sơ đồ topology SDN/SD-WAN, luồng traffic, cơ chế trao đổi control plane - data plane</t>
  </si>
  <si>
    <t>2026-09-06</t>
  </si>
  <si>
    <t>2026-09-12</t>
  </si>
  <si>
    <t>Sơ đồ topology mạng + Thiết kế luồng điều khiển v1</t>
  </si>
  <si>
    <t>Dự án CNTT_6</t>
  </si>
  <si>
    <t>Chuẩn bị testbed, controller &amp; công cụ giám sát mạng</t>
  </si>
  <si>
    <t>Cài đặt Mininet/Containerlab + controller, công cụ sinh traffic (iperf/hping3), giám sát (Wireshark)</t>
  </si>
  <si>
    <t>Testbed SDN/SD-WAN hoàn chỉnh + Công cụ giám sát</t>
  </si>
  <si>
    <t>Dự án CNTT_7</t>
  </si>
  <si>
    <t>Xây dựng kế hoạch kiểm thử &amp; tiêu chí nghiệm thu</t>
  </si>
  <si>
    <t>Test plan, kịch bản định tuyến/failover, tiêu chí đánh giá (Latency, Throughput, Packet Loss)</t>
  </si>
  <si>
    <t>2026-09-13</t>
  </si>
  <si>
    <t>2026-09-19</t>
  </si>
  <si>
    <t>Test plan + Bộ tiêu chí đánh giá + Baseline metrics</t>
  </si>
  <si>
    <t>Dự án CNTT_8</t>
  </si>
  <si>
    <t>Làm Proof of Concept (PoC): điều khiển định tuyến cơ bản qua controller</t>
  </si>
  <si>
    <t>Cấu hình flow rules cơ bản, kiểm tra khả năng điều khiển luồng traffic qua controller</t>
  </si>
  <si>
    <t>Bản demo PoC điều khiển SDN chạy được + Báo cáo rủi ro kỹ thuật</t>
  </si>
  <si>
    <t>Dự án CNTT_9</t>
  </si>
  <si>
    <t>III. TRIỂN KHAI / THỰC NGHIỆM</t>
  </si>
  <si>
    <t>Xây dựng phiên bản MVP: hệ thống SDN/SD-WAN vận hành cơ bản</t>
  </si>
  <si>
    <t>Hoàn thành luồng điều khiển - định tuyến - giám sát cơ bản trên toàn bộ topology</t>
  </si>
  <si>
    <t>2026-09-20</t>
  </si>
  <si>
    <t>2026-09-26</t>
  </si>
  <si>
    <t>Bản MVP: hệ thống SDN/SD-WAN chạy thông luồng cơ bản</t>
  </si>
  <si>
    <t>Dự án CNTT_10</t>
  </si>
  <si>
    <t>NỘP BÁO CÁO TIẾN ĐỘ GIỮA KỲ (MỐC KHOA)</t>
  </si>
  <si>
    <t>Tổng hợp tiến độ thực hiện, nộp phiếu theo dõi có chữ ký GVHD</t>
  </si>
  <si>
    <t>2026-10-04</t>
  </si>
  <si>
    <t>Phiếu theo dõi có chữ ký GVHD + Báo cáo giữa kỳ ELIT</t>
  </si>
  <si>
    <t>GIỮA KỲ</t>
  </si>
  <si>
    <t>Dự án CNTT_11</t>
  </si>
  <si>
    <t>Phát triển hoàn thiện module định tuyến &amp; chính sách điều khiển</t>
  </si>
  <si>
    <t>Lập trình logic định tuyến động, chính sách QoS/ưu tiên traffic, xử lý sự kiện mạng</t>
  </si>
  <si>
    <t>2026-10-05</t>
  </si>
  <si>
    <t>2026-10-18</t>
  </si>
  <si>
    <t>Module định tuyến &amp; chính sách điều khiển hoàn chỉnh trên Git</t>
  </si>
  <si>
    <t>Dự án CNTT_12</t>
  </si>
  <si>
    <t>Tích hợp toàn bộ hệ thống &amp; đồng bộ cấu hình mạng</t>
  </si>
  <si>
    <t>Kết nối controller-switch-orchestrator, đồng bộ cấu hình giữa các site SD-WAN</t>
  </si>
  <si>
    <t>2026-10-19</t>
  </si>
  <si>
    <t>2026-10-25</t>
  </si>
  <si>
    <t>Hệ thống tích hợp hoàn chỉnh (Full System Build)</t>
  </si>
  <si>
    <t>Dự án CNTT_13</t>
  </si>
  <si>
    <t>Duy trì Technical Log, Commit history &amp; Bằng chứng</t>
  </si>
  <si>
    <t>Ghi log cấu hình controller, thay đổi flow rules, biên bản họp định kỳ với GVHD</t>
  </si>
  <si>
    <t>2026-10-31</t>
  </si>
  <si>
    <t>Thư mục Evidence + Git commit log chuẩn quy cách</t>
  </si>
  <si>
    <t>Dự án CNTT_14</t>
  </si>
  <si>
    <t>IV. KIỂM THỬ &amp; ĐÁNH GIÁ</t>
  </si>
  <si>
    <t>Thực thi kiểm thử chức năng hệ thống SDN/SD-WAN</t>
  </si>
  <si>
    <t>Kiểm tra định tuyến, failover, chính sách QoS, khả năng phản hồi controller</t>
  </si>
  <si>
    <t>2026-10-26</t>
  </si>
  <si>
    <t>2026-11-01</t>
  </si>
  <si>
    <t>Bảng kết quả test chi tiết + Danh sách lỗi đã xử lý</t>
  </si>
  <si>
    <t>Dự án CNTT_15</t>
  </si>
  <si>
    <t>Kiểm thử hiệu năng, độ trễ &amp; khả năng mở rộng hệ thống</t>
  </si>
  <si>
    <t>Đo độ trễ xử lý (latency), thông lượng (throughput), khả năng chịu tải</t>
  </si>
  <si>
    <t>2026-11-02</t>
  </si>
  <si>
    <t>2026-11-08</t>
  </si>
  <si>
    <t>Báo cáo Performance &amp; Scalability testing</t>
  </si>
  <si>
    <t>Dự án CNTT_16</t>
  </si>
  <si>
    <t>Tổng hợp số liệu thực nghiệm &amp; biểu đồ đánh giá hệ thống</t>
  </si>
  <si>
    <t>Độ trễ định tuyến, thông lượng, tỷ lệ mất gói, so sánh trước/sau khi áp dụng SDN</t>
  </si>
  <si>
    <t>2026-11-09</t>
  </si>
  <si>
    <t>2026-11-15</t>
  </si>
  <si>
    <t>Bộ biểu đồ kết quả + Bảng so sánh hiệu quả mạng truyền thống và SDN</t>
  </si>
  <si>
    <t>Dự án CNTT_17</t>
  </si>
  <si>
    <t>Đánh giá đạt mục tiêu &amp; ghi nhận hạn chế</t>
  </si>
  <si>
    <t>Đối chiếu mục tiêu ban đầu, chỉ ra hạn chế &amp; đề xuất hướng cải tiến</t>
  </si>
  <si>
    <t>2026-11-12</t>
  </si>
  <si>
    <t>2026-11-18</t>
  </si>
  <si>
    <t>Bảng đối chiếu mục tiêu - kết quả đạt được</t>
  </si>
  <si>
    <t>Dự án CNTT_18</t>
  </si>
  <si>
    <t>V. VIẾT &amp; HOÀN THIỆN BÁO CÁO</t>
  </si>
  <si>
    <t>Xây dựng dàn ý &amp; viết chương mở đầu, cơ sở lý thuyết</t>
  </si>
  <si>
    <t>Tổng quan SDN/SD-WAN, cơ sở lý thuyết định tuyến/điều khiển mạng, phát biểu bài toán</t>
  </si>
  <si>
    <t>Bản thảo Chương 1, 2, 3 hoàn chỉnh</t>
  </si>
  <si>
    <t>Dự án CNTT_19</t>
  </si>
  <si>
    <t>Viết chương thiết kế hệ thống, triển khai &amp; kết quả thực nghiệm</t>
  </si>
  <si>
    <t>Kiến trúc mạng, luồng điều khiển, kết quả thực nghiệm, biểu đồ minh họa</t>
  </si>
  <si>
    <t>Bản thảo Chương 4, 5 đầy đủ sơ đồ và số liệu</t>
  </si>
  <si>
    <t>Dự án CNTT_20</t>
  </si>
  <si>
    <t>Hoàn thiện bản thảo toàn văn (Draft 100%)</t>
  </si>
  <si>
    <t>Ghép nối toàn bộ nội dung, rà soát nhất quán thuật ngữ SDN/SD-WAN</t>
  </si>
  <si>
    <t>2026-11-16</t>
  </si>
  <si>
    <t>Bản thảo báo cáo toàn văn 100%</t>
  </si>
  <si>
    <t>Dự án CNTT_21</t>
  </si>
  <si>
    <t>Review chéo, xin ý kiến GVHD &amp; chỉnh sửa hoàn thiện</t>
  </si>
  <si>
    <t>GVHD góp ý tính đúng đắn kỹ thuật mạng, chỉnh sửa văn phong</t>
  </si>
  <si>
    <t>Biên bản phản hồi góp ý + Bản sửa lần cuối</t>
  </si>
  <si>
    <t>Dự án CNTT_22</t>
  </si>
  <si>
    <t>CHỐT BÁO CÁO SẠCH (FINAL REPORT)</t>
  </si>
  <si>
    <t>Khóa nội dung, kiểm tra định dạng chuẩn TDTU, xuất PDF hoàn chỉnh</t>
  </si>
  <si>
    <t>BÁO CÁO SẠCH FINAL READY TO SUBMIT</t>
  </si>
  <si>
    <t>Dự án CNTT_23</t>
  </si>
  <si>
    <t>VI. ĐÓNG GÓI, BÁO CÁO &amp; ĐÁNH GIÁ RUBRIC</t>
  </si>
  <si>
    <t>NỘP BÁO CÁO CUỐI KỲ (TURNITIN + ELIT)</t>
  </si>
  <si>
    <t>Nộp file check đạo văn Turnitin + nộp hệ thống ELIT theo quy định Khoa</t>
  </si>
  <si>
    <t>2026-11-24</t>
  </si>
  <si>
    <t>Xác nhận nộp bài thành công trên ELIT &amp; Turnitin</t>
  </si>
  <si>
    <t>NỘP CUỐI KỲ</t>
  </si>
  <si>
    <t>Dự án CNTT_24</t>
  </si>
  <si>
    <t>Đóng gói mã nguồn, Demo package, Slide thuyết trình</t>
  </si>
  <si>
    <t>Video demo hệ thống SDN/SD-WAN vận hành thực tế, source code sạch, slide</t>
  </si>
  <si>
    <t>2026-12-05</t>
  </si>
  <si>
    <t>2026-12-15</t>
  </si>
  <si>
    <t>Slide báo cáo + Source code package sạch</t>
  </si>
  <si>
    <t>Dự án CNTT_25</t>
  </si>
  <si>
    <t>GVHD xác nhận duyệt cho sinh viên ra phản biện</t>
  </si>
  <si>
    <t>ThS. Lê Viết Thanh xác nhận duyệt đủ điều kiện báo cáo với GVPB</t>
  </si>
  <si>
    <t>2026-11-29</t>
  </si>
  <si>
    <t>Xác nhận của GVHD trên hệ thống</t>
  </si>
  <si>
    <t>Dự án CNTT_26</t>
  </si>
  <si>
    <t>Tập dượt thuyết trình &amp; Chuẩn bị câu hỏi phản biện</t>
  </si>
  <si>
    <t>Trả lời câu hỏi về lựa chọn kiến trúc SDN/SD-WAN, thuật toán định tuyến, kết quả thực nghiệm</t>
  </si>
  <si>
    <t>2026-12-18</t>
  </si>
  <si>
    <t>2026-12-25</t>
  </si>
  <si>
    <t>Bộ câu hỏi Q&amp;A + Kịch bản demo trơn tru</t>
  </si>
  <si>
    <t>Dự án CNTT_27</t>
  </si>
  <si>
    <t>BÁO CÁO VỚI GVPB &amp; NHẬP ĐIỂM RUBRIC</t>
  </si>
  <si>
    <t>Báo cáo trực tiếp với GVPB; GVPB và GVHD thống nhất điểm trên Rubric</t>
  </si>
  <si>
    <t>2026-12-26</t>
  </si>
  <si>
    <t>2026-12-31</t>
  </si>
  <si>
    <t>Hoàn thành bảo vệ &amp; Điểm số Rubric chính thức</t>
  </si>
  <si>
    <t>BẢO VỆ / ĐÁNH GIÁ</t>
  </si>
  <si>
    <t>Đồ án tốt nghiệp_1</t>
  </si>
  <si>
    <t>Xác định đề tài nghiên cứu ứng dụng ML trong SDN/SD-WAN &amp; phạm vi ĐATN</t>
  </si>
  <si>
    <t>Bài toán mạng cụ thể (định tuyến thông minh/phát hiện tấn công/tối ưu QoS bằng ML), mục tiêu &amp; phạm vi</t>
  </si>
  <si>
    <t>2026-08-31</t>
  </si>
  <si>
    <t>Đề cương chi tiết ĐATN + Tuyên bố bài toán &amp; phạm vi ứng dụng ML/SDN</t>
  </si>
  <si>
    <t>Đồ án tốt nghiệp_2</t>
  </si>
  <si>
    <t>Khảo sát tài liệu học thuật về SDN/SD-WAN &amp; các mô hình ML liên quan</t>
  </si>
  <si>
    <t>Tổng hợp bài báo, giải pháp hiện có; phân tích ưu nhược điểm các phương pháp ML trong quản lý mạng</t>
  </si>
  <si>
    <t>Báo cáo tổng quan nghiên cứu (Literature Review v1)</t>
  </si>
  <si>
    <t>Đồ án tốt nghiệp_3</t>
  </si>
  <si>
    <t>Đề xuất kiến trúc giải pháp SDN/SD-WAN tích hợp ML</t>
  </si>
  <si>
    <t>Controller, mô hình ML đề xuất (thuật toán, kiến trúc mạng nơ-ron nếu có), luồng xử lý dữ liệu</t>
  </si>
  <si>
    <t>2026-09-01</t>
  </si>
  <si>
    <t>2026-09-08</t>
  </si>
  <si>
    <t>Sơ đồ kiến trúc giải pháp đề xuất + Lý giải lựa chọn</t>
  </si>
  <si>
    <t>Đồ án tốt nghiệp_4</t>
  </si>
  <si>
    <t>Lập kế hoạch WBS 18 tuần, phân công &amp; quản trị rủi ro</t>
  </si>
  <si>
    <t>Phân rã công việc thu thập dữ liệu mạng, huấn luyện mô hình, tích hợp hệ thống; Git repo, Drive</t>
  </si>
  <si>
    <t>2026-09-03</t>
  </si>
  <si>
    <t>2026-09-10</t>
  </si>
  <si>
    <t>WBS Roadmap 18 tuần + Git repo + Quy chế làm việc</t>
  </si>
  <si>
    <t>Đồ án tốt nghiệp_5</t>
  </si>
  <si>
    <t>Thiết kế kiến trúc hệ thống, thuật toán ML &amp; cơ sở dữ liệu mạng</t>
  </si>
  <si>
    <t>Kiến trúc controller-ML engine, thuật toán xử lý, schema lưu trữ flow/traffic data</t>
  </si>
  <si>
    <t>Tài liệu đặc tả thiết kế chi tiết (System Architecture)</t>
  </si>
  <si>
    <t>Đồ án tốt nghiệp_6</t>
  </si>
  <si>
    <t>Chuẩn bị hạ tầng thử nghiệm SDN/SD-WAN, dataset &amp; công cụ</t>
  </si>
  <si>
    <t>Testbed (Mininet/Containerlab/GNS3), thu thập/tìm dataset traffic chuẩn, cài đặt công cụ ML</t>
  </si>
  <si>
    <t>2026-09-11</t>
  </si>
  <si>
    <t>Môi trường thực nghiệm chuẩn hóa + Bộ công cụ thử nghiệm</t>
  </si>
  <si>
    <t>Đồ án tốt nghiệp_7</t>
  </si>
  <si>
    <t>Xây dựng kịch bản thực nghiệm &amp; Baseline đánh giá</t>
  </si>
  <si>
    <t>Kịch bản mô phỏng lưu lượng/tấn công, đối tượng baseline so sánh, độ đo đánh giá</t>
  </si>
  <si>
    <t>2026-09-15</t>
  </si>
  <si>
    <t>2026-09-22</t>
  </si>
  <si>
    <t>Kịch bản thực nghiệm chi tiết + Danh mục Benchmark</t>
  </si>
  <si>
    <t>Đồ án tốt nghiệp_8</t>
  </si>
  <si>
    <t>Thực hiện PoC kiểm chứng tính khả thi của giải pháp đề xuất</t>
  </si>
  <si>
    <t>Chạy thử giải pháp trên topology thu gọn để chứng minh khả năng triển khai thực tế</t>
  </si>
  <si>
    <t>2026-09-16</t>
  </si>
  <si>
    <t>2026-09-24</t>
  </si>
  <si>
    <t>Báo cáo thực nghiệm PoC + Đánh giá tính khả thi</t>
  </si>
  <si>
    <t>Đồ án tốt nghiệp_9</t>
  </si>
  <si>
    <t>Xây dựng Prototype/MVP: hệ thống SDN/SD-WAN vận hành ổn định</t>
  </si>
  <si>
    <t>Hoàn thiện module trung tâm (controller + orchestrator), luồng dữ liệu thông suốt đầu-cuối</t>
  </si>
  <si>
    <t>2026-09-30</t>
  </si>
  <si>
    <t>Prototype/MVP hoạt động ổn định trên tập test</t>
  </si>
  <si>
    <t>Đồ án tốt nghiệp_10</t>
  </si>
  <si>
    <t>Tổng hợp tiến độ, nộp phiếu theo dõi có chữ ký GVHD</t>
  </si>
  <si>
    <t>Đồ án tốt nghiệp_11</t>
  </si>
  <si>
    <t>Hoàn thiện toàn bộ module hệ thống &amp; chính sách điều khiển</t>
  </si>
  <si>
    <t>Mở rộng tính năng, module giám sát mạng, chính sách tự động hóa cấu hình nếu có</t>
  </si>
  <si>
    <t>Hệ thống hoàn chỉnh tất cả các module</t>
  </si>
  <si>
    <t>Đồ án tốt nghiệp_12</t>
  </si>
  <si>
    <t>Tích hợp toàn diện hệ thống, kiểm thử liên kết &amp; tối ưu hóa</t>
  </si>
  <si>
    <t>Kết nối các thành phần, tối ưu thời gian xử lý, cải thiện độ ổn định hệ thống</t>
  </si>
  <si>
    <t>Bản Release ứng cử viên (Release Candidate)</t>
  </si>
  <si>
    <t>Đồ án tốt nghiệp_13</t>
  </si>
  <si>
    <t>Lưu trữ nhật ký thực nghiệm, Logs, Raw Data &amp; Evidence</t>
  </si>
  <si>
    <t>Log cấu hình controller, thay đổi chính sách định tuyến để đối chiếu kết quả</t>
  </si>
  <si>
    <t>Repository thực nghiệm + Thư mục Raw Data/Logs</t>
  </si>
  <si>
    <t>Đồ án tốt nghiệp_14</t>
  </si>
  <si>
    <t>Chạy thực nghiệm chính thức trên toàn bộ tập dữ liệu/topology</t>
  </si>
  <si>
    <t>Đo đạc chính thức theo kịch bản đã thiết lập; lặp lại nhiều lần đảm bảo khách quan</t>
  </si>
  <si>
    <t>Bảng dữ liệu kết quả thực nghiệm thô (Raw Results)</t>
  </si>
  <si>
    <t>Đồ án tốt nghiệp_15</t>
  </si>
  <si>
    <t>Xử lý, làm sạch &amp; chuẩn hóa dữ liệu kết quả thực nghiệm</t>
  </si>
  <si>
    <t>Phân tích thống kê, loại trừ ngoại lai có giải trình, tính giá trị trung bình/độ lệch chuẩn</t>
  </si>
  <si>
    <t>2026-11-25</t>
  </si>
  <si>
    <t>Dataset kết quả đã được làm sạch và xử lý</t>
  </si>
  <si>
    <t>Đồ án tốt nghiệp_16</t>
  </si>
  <si>
    <t>Phân tích kết quả, so sánh Baseline &amp; trực quan hóa</t>
  </si>
  <si>
    <t>Vẽ biểu đồ so sánh mô hình đề xuất với baseline, phân tích trường hợp thành công/thất bại</t>
  </si>
  <si>
    <t>2026-11-21</t>
  </si>
  <si>
    <t>2026-11-30</t>
  </si>
  <si>
    <t>Bộ biểu đồ chuyên nghiệp + Bảng phân tích chuyên sâu</t>
  </si>
  <si>
    <t>Đồ án tốt nghiệp_17</t>
  </si>
  <si>
    <t>Đối chiếu mục tiêu ban đầu, đóng góp &amp; chỉ ra hạn chế</t>
  </si>
  <si>
    <t>Đánh giá mức độ hoàn thành so với cam kết ban đầu; nêu điểm mới và hạn chế</t>
  </si>
  <si>
    <t>2026-11-26</t>
  </si>
  <si>
    <t>Bảng tổng hợp đối chiếu Mục tiêu - Kết quả đạt được</t>
  </si>
  <si>
    <t>Đồ án tốt nghiệp_18</t>
  </si>
  <si>
    <t>Xây dựng khung báo cáo &amp; hoàn thành Chương 1, 2, 3</t>
  </si>
  <si>
    <t>Mở đầu, Cơ sở lý thuyết SDN/SD-WAN, Thiết kế hệ thống theo chuẩn ĐATN TDTU</t>
  </si>
  <si>
    <t>Bản thảo Chương 1, 2, 3 chuẩn quy cách ĐATN TDTU</t>
  </si>
  <si>
    <t>Đồ án tốt nghiệp_19</t>
  </si>
  <si>
    <t>Viết Chương Triển khai, Thực nghiệm &amp; Đánh giá (Chương 4, 5)</t>
  </si>
  <si>
    <t>Môi trường thực nghiệm, kết quả triển khai/kiểm thử, thảo luận kết quả</t>
  </si>
  <si>
    <t>Bản thảo Chương 4, 5 chi tiết</t>
  </si>
  <si>
    <t>Đồ án tốt nghiệp_20</t>
  </si>
  <si>
    <t>Viết Kết luận, Tóm tắt, Tài liệu tham khảo &amp; Phụ lục</t>
  </si>
  <si>
    <t>Kết luận &amp; Hướng phát triển, chuẩn hóa tài liệu tham khảo theo IEEE</t>
  </si>
  <si>
    <t>2026-12-01</t>
  </si>
  <si>
    <t>2026-12-08</t>
  </si>
  <si>
    <t>Bản thảo toàn văn 100% (Full Draft v1)</t>
  </si>
  <si>
    <t>Đồ án tốt nghiệp_21</t>
  </si>
  <si>
    <t>Review chéo, xin ý kiến GVHD &amp; hiệu chỉnh</t>
  </si>
  <si>
    <t>Gửi bản thảo cho GVHD phản biện; tiếp thu chỉnh sửa cấu trúc, thuật ngữ kỹ thuật</t>
  </si>
  <si>
    <t>2026-12-06</t>
  </si>
  <si>
    <t>Bản thảo đã được GVHD góp ý và chỉnh sửa</t>
  </si>
  <si>
    <t>Đồ án tốt nghiệp_22</t>
  </si>
  <si>
    <t>CHỐT BÁO CÁO SẠCH ĐATN (FINAL REPORT)</t>
  </si>
  <si>
    <t>Hoàn tất 100% nội dung, chính tả, định dạng chuẩn TDTU, xuất PDF báo cáo sạch</t>
  </si>
  <si>
    <t>BÁO CÁO SẠCH HOÀN TẤT (Trước deadline 1 tuần)</t>
  </si>
  <si>
    <t>Đồ án tốt nghiệp_23</t>
  </si>
  <si>
    <t>VI. ĐÓNG GÓI, PHẢN BIỆN, BẢO VỆ &amp; NỘP ELIT</t>
  </si>
  <si>
    <t>Nộp file lên Turnitin (kiểm tra đạo văn) và hệ thống ELIT theo thông báo Khoa</t>
  </si>
  <si>
    <t>2026-12-17</t>
  </si>
  <si>
    <t>Xác nhận nộp báo cáo cuối kỳ thành công trên ELIT</t>
  </si>
  <si>
    <t>Đồ án tốt nghiệp_24</t>
  </si>
  <si>
    <t>GVHD duyệt xác nhận cho SV ra Hội đồng phản biện</t>
  </si>
  <si>
    <t>ThS. Lê Viết Thanh xác nhận đủ điều kiện ra Hội đồng trên hệ thống</t>
  </si>
  <si>
    <t>2026-12-22</t>
  </si>
  <si>
    <t>Xác nhận của GVHD đủ điều kiện phản biện</t>
  </si>
  <si>
    <t>Đồ án tốt nghiệp_25</t>
  </si>
  <si>
    <t>Gặp &amp; Báo cáo với Giảng viên phản biện (GVPB)</t>
  </si>
  <si>
    <t>Trình bày kết quả triển khai giải pháp SDN/SD-WAN với GVPB; nhận phiếu đánh giá</t>
  </si>
  <si>
    <t>2027-01-01</t>
  </si>
  <si>
    <t>2027-01-08</t>
  </si>
  <si>
    <t>Phiếu chấm điểm phản biện của GVPB</t>
  </si>
  <si>
    <t>Đồ án tốt nghiệp_26</t>
  </si>
  <si>
    <t>TỔ CHỨC HỘI ĐỒNG BẢO VỆ ĐATN</t>
  </si>
  <si>
    <t>Thuyết trình trước Hội đồng đánh giá ĐATN của Khoa CNTT - ĐH Tôn Đức Thắng</t>
  </si>
  <si>
    <t>2027-01-13</t>
  </si>
  <si>
    <t>2027-01-18</t>
  </si>
  <si>
    <t>Biên bản chấm điểm của Hội đồng bảo vệ ĐATN</t>
  </si>
  <si>
    <t>Đồ án tốt nghiệp_27</t>
  </si>
  <si>
    <t>Chỉnh sửa theo góp ý Hội đồng &amp; Nộp file ELIT</t>
  </si>
  <si>
    <t>Hiệu chỉnh báo cáo theo nhận xét của HĐ, nộp file hoàn thiện lên ELIT</t>
  </si>
  <si>
    <t>2027-02-16</t>
  </si>
  <si>
    <t>Điểm số ĐATN chính thức được công nhận</t>
  </si>
  <si>
    <t>Khóa luận tốt nghiệp_1</t>
  </si>
  <si>
    <t>Xác định vấn đề nghiên cứu khoa học trong SDN/SD-WAN ứng dụng ML</t>
  </si>
  <si>
    <t>Research gap, giả thuyết &amp; câu hỏi nghiên cứu về tối ưu/bảo mật mạng bằng ML</t>
  </si>
  <si>
    <t>2026-08-20</t>
  </si>
  <si>
    <t>Research Proposal + Problem Formulation (SDN/SD-WAN + ML)</t>
  </si>
  <si>
    <t>Khóa luận tốt nghiệp_2</t>
  </si>
  <si>
    <t>Khảo sát tài liệu học thuật chuyên sâu (State-of-the-Art Review)</t>
  </si>
  <si>
    <t>Bài báo ISI/Scopus về SDN/SD-WAN &amp; ML; ma trận so sánh phương pháp hiện hành</t>
  </si>
  <si>
    <t>2026-08-15</t>
  </si>
  <si>
    <t>Comprehensive Literature Review + Related Works Matrix</t>
  </si>
  <si>
    <t>Khóa luận tốt nghiệp_3</t>
  </si>
  <si>
    <t>Đề xuất mô hình/thuật toán ML cải tiến cho SDN/SD-WAN</t>
  </si>
  <si>
    <t>Cơ sở toán học, kiến trúc mô hình đề xuất (Deep Learning/Reinforcement Learning cho định tuyến/bảo mật)</t>
  </si>
  <si>
    <t>2026-09-18</t>
  </si>
  <si>
    <t>Theoretical Framework + Methodology Design Specification</t>
  </si>
  <si>
    <t>Khóa luận tốt nghiệp_4</t>
  </si>
  <si>
    <t>Lập kế hoạch nghiên cứu 25 tuần, quản trị tài nguyên &amp; rủi ro</t>
  </si>
  <si>
    <t>Lộ trình nghiên cứu, Git repo, Overleaf/LaTeX, quản lý tài liệu tham khảo</t>
  </si>
  <si>
    <t>Research Roadmap + LaTeX Workspace + Citation Library</t>
  </si>
  <si>
    <t>Khóa luận tốt nghiệp_5</t>
  </si>
  <si>
    <t>Mô hình hóa thuật toán &amp; thiết kế kiến trúc giải pháp SDN/SD-WAN + ML</t>
  </si>
  <si>
    <t>Đặc tả toán học, sơ đồ khối thuật toán, pipeline xử lý dữ liệu, kiến trúc mô hình</t>
  </si>
  <si>
    <t>Detailed Algorithm Design + Mathematical Formulation</t>
  </si>
  <si>
    <t>Khóa luận tốt nghiệp_6</t>
  </si>
  <si>
    <t>Chuẩn bị Dataset chuẩn, hạ tầng GPU &amp; pipeline tiền xử lý</t>
  </si>
  <si>
    <t>Dataset traffic/SDN chuẩn quốc tế (benchmark), tiền xử lý, trích chọn đặc trưng, chia train/val/test</t>
  </si>
  <si>
    <t>2026-10-10</t>
  </si>
  <si>
    <t>Benchmark Dataset đã tiền xử lý + Pipeline mã nguồn</t>
  </si>
  <si>
    <t>Khóa luận tốt nghiệp_7</t>
  </si>
  <si>
    <t>Thiết lập kịch bản thực nghiệm, độ đo khoa học &amp; Baselines</t>
  </si>
  <si>
    <t>Mô hình baseline State-of-the-Art, metric chuẩn (Precision, Recall, F1, ROC-AUC, Delay)</t>
  </si>
  <si>
    <t>2026-10-01</t>
  </si>
  <si>
    <t>2026-10-15</t>
  </si>
  <si>
    <t>Experimental Setup Document + Benchmark Protocol</t>
  </si>
  <si>
    <t>Khóa luận tốt nghiệp_8</t>
  </si>
  <si>
    <t>Thực hiện PoC &amp; xác minh giả thuyết ban đầu</t>
  </si>
  <si>
    <t>Chạy thử giải thuật đề xuất trên tập mẫu để xác minh tính đúng đắn của giả thuyết</t>
  </si>
  <si>
    <t>2026-10-20</t>
  </si>
  <si>
    <t>Báo cáo PoC + Kết quả kiểm chứng giả thuyết ban đầu</t>
  </si>
  <si>
    <t>Khóa luận tốt nghiệp_9</t>
  </si>
  <si>
    <t>Triển khai cài đặt mô hình/thuật toán ML đề xuất cho SDN/SD-WAN</t>
  </si>
  <si>
    <t>Lập trình cài đặt hoàn chỉnh thuật toán đề xuất; tinh chỉnh hyperparameter tuning</t>
  </si>
  <si>
    <t>2026-11-05</t>
  </si>
  <si>
    <t>Source code hoàn chỉnh của mô hình đề xuất</t>
  </si>
  <si>
    <t>Khóa luận tốt nghiệp_10</t>
  </si>
  <si>
    <t>BÁO CÁO TIẾN ĐỘ THỰC HIỆN KLTN GIỮA KỲ (MỐC KHOA)</t>
  </si>
  <si>
    <t>Nộp phiếu theo dõi có nhận xét &amp; chữ ký GVHD sau 6 tuần</t>
  </si>
  <si>
    <t>2026-10-29</t>
  </si>
  <si>
    <t>Khóa luận tốt nghiệp_11</t>
  </si>
  <si>
    <t>Cài đặt &amp; chạy lại các mô hình đối chứng (Baseline Models)</t>
  </si>
  <si>
    <t>Triển khai lại giải pháp của các tác giả trước trên cùng điều kiện/dataset để đảm bảo công bằng</t>
  </si>
  <si>
    <t>Bộ mã nguồn và kết quả của các mô hình Baseline</t>
  </si>
  <si>
    <t>Khóa luận tốt nghiệp_12</t>
  </si>
  <si>
    <t>Chạy thực nghiệm diện rộng, Cross-validation &amp; Stress-test</t>
  </si>
  <si>
    <t>Lặp lại k-fold cross-validation, kiểm tra độ ổn định và tài nguyên tiêu thụ của mô hình</t>
  </si>
  <si>
    <t>Dữ liệu thực nghiệm đầy đủ (Comprehensive Result Set)</t>
  </si>
  <si>
    <t>Khóa luận tốt nghiệp_13</t>
  </si>
  <si>
    <t>Duy trì Research Logbook, Git commit &amp; Raw Experimental Data</t>
  </si>
  <si>
    <t>Lữu logs huấn luyện, checkpoints, raw outputs đảm bảo tính tái lập (Reproducibility)</t>
  </si>
  <si>
    <t>2026-12-20</t>
  </si>
  <si>
    <t>Research Logbook + Evidence Folder + Model Checkpoints</t>
  </si>
  <si>
    <t>Khóa luận tốt nghiệp_14</t>
  </si>
  <si>
    <t>Tổng hợp số liệu thực nghiệm &amp; phân tích thống kê</t>
  </si>
  <si>
    <t>Kiểm định ý nghĩa thống kê (t-test/ANOVA/Wilcoxon) để chứng minh tính vượt trội</t>
  </si>
  <si>
    <t>Bảng thống kê định lượng &amp; Kết quả kiểm định thống kê</t>
  </si>
  <si>
    <t>Khóa luận tốt nghiệp_15</t>
  </si>
  <si>
    <t>Ablation Study (Phân tích đóng góp của từng thành phần)</t>
  </si>
  <si>
    <t>Thực nghiệm loại trừ từng thành phần mô hình để chứng minh giá trị đóng góp</t>
  </si>
  <si>
    <t>Báo cáo phân tích Ablation Study chuyên sâu</t>
  </si>
  <si>
    <t>Khóa luận tốt nghiệp_16</t>
  </si>
  <si>
    <t>Trực quan hóa kết quả nghiên cứu &amp; so sánh State-of-the-Art</t>
  </si>
  <si>
    <t>Biểu đồ chuẩn xuất bản khoa học (Confusion Matrix, Loss curves, Trade-off analysis)</t>
  </si>
  <si>
    <t>2026-12-28</t>
  </si>
  <si>
    <t>Bộ hình vẽ &amp; biểu đồ đạt chuẩn xuất bản quốc tế</t>
  </si>
  <si>
    <t>Khóa luận tốt nghiệp_17</t>
  </si>
  <si>
    <t>Thảo luận kết quả (Discussion), đóng góp mới &amp; hạn chế</t>
  </si>
  <si>
    <t>Lý giải tại sao mô hình đạt hiệu quả cao, phân tích case lỗi (error analysis), giới hạn nghiên cứu</t>
  </si>
  <si>
    <t>Chương Thảo luận &amp; Phân tích đóng góp học thuật</t>
  </si>
  <si>
    <t>Khóa luận tốt nghiệp_18</t>
  </si>
  <si>
    <t>Soạn thảo Chương 1, 2, 3 (Introduction, Background)</t>
  </si>
  <si>
    <t>Introduction, Literature Review, Methodology theo chuẩn cấu trúc Khóa luận tốt nghiệp</t>
  </si>
  <si>
    <t>Khóa luận tốt nghiệp_19</t>
  </si>
  <si>
    <t>Soạn thảo Chương Thực nghiệm, Kết quả &amp; Thảo luận (Chương 4, 5)</t>
  </si>
  <si>
    <t>Thiết lập thực nghiệm, phân tích kết quả, so sánh baseline và ablation study</t>
  </si>
  <si>
    <t>2027-01-02</t>
  </si>
  <si>
    <t>Bản thảo Chương 4, 5 đạt chuẩn học thuật cao</t>
  </si>
  <si>
    <t>Khóa luận tốt nghiệp_20</t>
  </si>
  <si>
    <t>Hoàn thành toàn văn Khóa luận (100% Full Manuscript)</t>
  </si>
  <si>
    <t>Conclusion, Future Works, Abstract song ngữ Anh-Việt, kiểm tra danh mục trích dẫn</t>
  </si>
  <si>
    <t>Bản thảo toàn văn KLTN 100% (Full Manuscript)</t>
  </si>
  <si>
    <t>Khóa luận tốt nghiệp_21</t>
  </si>
  <si>
    <t>GVHD phản biện học thuật &amp; kiểm tra trùng lặp Turnitin</t>
  </si>
  <si>
    <t>ThS. Lê Viết Thanh duyệt góp ý chuyên sâu; kiểm tra tỷ lệ tương đồng học thuật</t>
  </si>
  <si>
    <t>2027-01-03</t>
  </si>
  <si>
    <t>Báo cáo Turnitin đạt chuẩn + Bản chỉnh sửa hoàn thiện</t>
  </si>
  <si>
    <t>Khóa luận tốt nghiệp_22</t>
  </si>
  <si>
    <t>CHỐT BÁO CÁO SẠCH KHÓA LUẬN (FINAL CLEAN REPORT)</t>
  </si>
  <si>
    <t>Khóa nội dung toàn văn, định dạng chuẩn form KLTN TDTU, sẵn sàng in ấn</t>
  </si>
  <si>
    <t>BÁO CÁO SẠCH FINAL - SẴN SÀNG NỘP</t>
  </si>
  <si>
    <t>Khóa luận tốt nghiệp_23</t>
  </si>
  <si>
    <t>VI. NỘP CUỐI KỲ, PHẢN BIỆN &amp; BẢO VỆ KLTN</t>
  </si>
  <si>
    <t>NỘP BÁO CÁO CUỐI KỲ (TURNITIN + ELIT + IN 3 CUỐN)</t>
  </si>
  <si>
    <t>Nộp file (Turnitin, KLTN, ELIT) + Nộp 03 cuốn bìa thường kèm đĩa CD tại Khoa</t>
  </si>
  <si>
    <t>2027-01-15</t>
  </si>
  <si>
    <t>Xác nhận nộp bài file mềm + Biên nhận nộp 03 cuốn</t>
  </si>
  <si>
    <t>Khóa luận tốt nghiệp_24</t>
  </si>
  <si>
    <t>GVHD xác nhận duyệt sinh viên ra Hội đồng phản biện</t>
  </si>
  <si>
    <t>ThS. Lê Viết Thanh ký duyệt cho sinh viên ra Hội đồng phản biện</t>
  </si>
  <si>
    <t>2027-01-20</t>
  </si>
  <si>
    <t>2027-01-24</t>
  </si>
  <si>
    <t>Phiếu xác nhận của GVHD đủ điều kiện bảo vệ</t>
  </si>
  <si>
    <t>Khóa luận tốt nghiệp_25</t>
  </si>
  <si>
    <t>Trình bày kết quả nghiên cứu mô hình ML trong SDN/SD-WAN với GVPB; nhận phiếu chấm điểm</t>
  </si>
  <si>
    <t>2027-02-19</t>
  </si>
  <si>
    <t>2027-02-24</t>
  </si>
  <si>
    <t>Khóa luận tốt nghiệp_26</t>
  </si>
  <si>
    <t>TỔ CHỨC HỘI ĐỔNG BẢO VỆ KHÓA LUẬN TỐT NGHIỆP</t>
  </si>
  <si>
    <t>Bảo vệ chính thức trước Hội đồng chấm Khóa luận tốt nghiệp Trường ĐH Tôn Đức Thắng</t>
  </si>
  <si>
    <t>2027-03-03</t>
  </si>
  <si>
    <t>2027-03-06</t>
  </si>
  <si>
    <t>Biên bản chấm điểm &amp; Đánh giá của Hội đồng</t>
  </si>
  <si>
    <t>Khóa luận tốt nghiệp_27</t>
  </si>
  <si>
    <t>Điều chỉnh báo cáo &amp; Nộp cuốn KLTN mạ vàng chính thức</t>
  </si>
  <si>
    <t>Hoàn thiện chỉnh sửa theo biên bản Hội đồng, đóng bìa mạ vàng và nộp chính thức về VP Khoa</t>
  </si>
  <si>
    <t>2027-03-07</t>
  </si>
  <si>
    <t>2027-04-06</t>
  </si>
  <si>
    <t>Biên nhận nộp cuốn KLTN mạ vàng chính thức</t>
  </si>
  <si>
    <t>BẢNG THEO DÕI TIẾN ĐỘ THỰC HIỆN ĐỀ TÀI - NHÓM 01</t>
  </si>
  <si>
    <t>Khoa Công nghệ Thông tin - Trường ĐH Tôn Đức Thắng | Học kỳ 1 / Năm học 2026 - 2027</t>
  </si>
  <si>
    <t>Loại hình đề tài (*):</t>
  </si>
  <si>
    <t>GV Hướng dẫn:</t>
  </si>
  <si>
    <t>ThS. Lê Viết Thanh</t>
  </si>
  <si>
    <t>Tên đề tài / dự án:</t>
  </si>
  <si>
    <t>SO SÁNH HIỆU NĂNG GIỮA WAN TRUYỀN THỐNG (MPLS) VÀ SD-WAN TRONG MẠNG DOANH NGHIỆP</t>
  </si>
  <si>
    <t>Sinh viên 1 (Trưởng nhóm):</t>
  </si>
  <si>
    <t>Huỳnh Văn Dũng - 52300190</t>
  </si>
  <si>
    <t>Sinh viên 2:</t>
  </si>
  <si>
    <t>Trần Gia hưng</t>
  </si>
  <si>
    <t>Email / SĐT SV 1:</t>
  </si>
  <si>
    <t>52300190@student.tdtu.edu.vn</t>
  </si>
  <si>
    <t>Email / SĐT SV 2:</t>
  </si>
  <si>
    <t>52300200@student.tdtu.edu.vn</t>
  </si>
  <si>
    <t>Ngày bắt đầu:</t>
  </si>
  <si>
    <t>Báo cáo sạch hoàn tất:</t>
  </si>
  <si>
    <t>Deadline chính thức:</t>
  </si>
  <si>
    <t>Lịch Phản biện / Bảo vệ:</t>
  </si>
  <si>
    <t>Loại hình thứ 2 (nếu có):</t>
  </si>
  <si>
    <t>TỔNG QUAN TIẾN ĐỘ THỰC HIỆN CỦA NHÓM</t>
  </si>
  <si>
    <t>Tổng Hạng Mục</t>
  </si>
  <si>
    <t>Hoàn Thành</t>
  </si>
  <si>
    <t>Đang Làm</t>
  </si>
  <si>
    <t>Chưa Bắt Đầu</t>
  </si>
  <si>
    <t>Tạm Hoãn</t>
  </si>
  <si>
    <t>Tỷ Lệ Hoàn Thành</t>
  </si>
  <si>
    <t>Trạng Thái Chung</t>
  </si>
  <si>
    <t>Nội Dung Cần Thực Hiện / Gợi Ý</t>
  </si>
  <si>
    <t>Nội Dung Nhóm Tự Điền</t>
  </si>
  <si>
    <t>Trạng Thái (*)</t>
  </si>
  <si>
    <t>Người Phụ Trách / Ghi Chú &amp; Link</t>
  </si>
  <si>
    <t>Hoàn thành</t>
  </si>
  <si>
    <t>Chưa bắt đầu</t>
  </si>
  <si>
    <t>KHỐI CÔNG VIỆC - LOẠI HÌNH THỨ 2 (CHỈ DÙNG NẾU NHÓM LÀM ĐỒNG THỜI 2 LOẠI HÌNH)</t>
  </si>
  <si>
    <t>BẢNG THEO DÕI TIẾN ĐỘ THỰC HIỆN ĐỀ TÀI - NHÓM 02</t>
  </si>
  <si>
    <t>SO SÁNH MẠNG WAN TRUYỀN THỐNG VÀ MẠNG TÍCH HỢP SDN VÀ SD-WAN</t>
  </si>
  <si>
    <t>Đỗ Tuấn Khang - 52300207</t>
  </si>
  <si>
    <t>Nguyễn Minh Huy - 52300203</t>
  </si>
  <si>
    <t>52300207@student.tdtu.edu.vn</t>
  </si>
  <si>
    <t>52300203@student.tdtu.edu.vn</t>
  </si>
  <si>
    <t>Bài toán cần giải quyết: WAN truyền thống (MPLS) có chi phí cao, khó mở rộng, tốn thời gian cấu hình thủ công từng thiết bị và thiếu khả năng quản lý, giám sát tập trung.
Mục tiêu dự án: Tối ưu hóa hạ tầng mạng bằng cách chuyển đổi/tích hợp mô hình SDN/SD-WAN; tự động hóa việc điều khiển luồng dữ liệu và quản trị tập trung.Phạm vi mô hình: Giả lập mạng gồm 2–3 chi nhánh (Sites) nối về Trung tâm dữ liệu (Data Center) qua các đường truyền song song (MPLS giả lập + Internet).</t>
  </si>
  <si>
    <t>Kiến trúc SDN: Phân tách rõ 3 mặt phẳng gồm Data Plane (chuyển tiếp dữ liệu qua OpenFlow), Control Plane (bộ điều khiển tập trung) và Application Plane (các ứng dụng quản trị, QoS, bảo mật).
Công nghệ SD-WAN: Sử dụng mạng ảo (Overlay Tunnel), chọn đường đi linh hoạt dựa trên chất lượng đường truyền (Dynamic Path Selection) và quản lý tập trung qua bảng điều khiển.
Giải pháp khảo sát: Khảo sát các nền tảng mã nguồn mở OpenDaylight, ONOS, Mininet và tham khảo tài liệu các giải pháp thương mại (Cisco Viptela, Fortinet, VMware VeloCloud).</t>
  </si>
  <si>
    <t>SDN Controller: Chọn ONOS do ưu điểm nhẹ, dễ lập trình kịch bản điều khiển bằng Python và hỗ trợ chuẩn OpenFlow v1.3.
Công cụ mô phỏng: Sử dụng Mininet kết hợp với Open vSwitch (OVS) để tạo lập topo mạng ảo hóa cho các Router/Switch WAN.</t>
  </si>
  <si>
    <t>Đang thực hiện</t>
  </si>
  <si>
    <t>BẢNG THEO DÕI TIẾN ĐỘ THỰC HIỆN ĐỀ TÀI - NHÓM 03</t>
  </si>
  <si>
    <t>QUẢN LÝ MẠNG DOANH NGHIỆP TRÊN NỀN TẢNG CLOUD SỬ DỤNG SDN</t>
  </si>
  <si>
    <t>Đỗ Tài Khải Nguyên  - 52300230</t>
  </si>
  <si>
    <t>Nguyễn Văn An - 52300172</t>
  </si>
  <si>
    <t>52300230Âstudent.tdtu.edu.vn</t>
  </si>
  <si>
    <t>52300172@student.tdtu.edu.vn</t>
  </si>
  <si>
    <t>Xác định bài toán mạng &amp; mục tiêu</t>
  </si>
  <si>
    <t>Đã xác định bài toán quản lý mạng doanh nghiệp tập trung, kết hợp SDN cho mạng LAN và SD-WAN cho kết nối giữa HQ/Branch; xác định phạm vi mô phỏng trên Mininet.</t>
  </si>
  <si>
    <t>Xác định bài toán, mục tiêu và phạm vi của đề tài.</t>
  </si>
  <si>
    <t>Khảo sát kiến trúc SDN/SD-WAN</t>
  </si>
  <si>
    <t>Đã nghiên cứu kiến trúc SDN, SD-WAN, OpenFlow, VLAN, Underlay/Overlay và cơ chế Controller quản lý tập trung thiết bị mạng.</t>
  </si>
  <si>
    <t>Tài liệu tổng hợp kiến thức về SDN, SD-WAN, OpenFlow, VLAN và các công nghệ liên quan.</t>
  </si>
  <si>
    <t>Chọn Controller, công cụ mô phỏng</t>
  </si>
  <si>
    <t>Đã lựa chọn ONOS Controller, Mininet, Open vSwitch và FRR; xây dựng kiến trúc gồm HQ, Branch, Internet/MPLS và các thành phần SDN/SD-WAN.</t>
  </si>
  <si>
    <t>Danh sách công nghệ được lựa chọn: ONOS, Open vSwitch, Mininet, FRR và các công cụ hỗ trợ.</t>
  </si>
  <si>
    <t>Lập kế hoạch, phân công &amp; quản trị rủi ro</t>
  </si>
  <si>
    <t>Phân chia công việc theo các phần topology, controller, cấu hình mạng và kiểm thử; xác định các rủi ro liên quan đến kết nối ONOS–OVS, routing và VLAN</t>
  </si>
  <si>
    <t>Kế hoạch thực hiện, phân công công việc và tiến độ dự án.</t>
  </si>
  <si>
    <t>Thiết kế topology mạng &amp; luồng điều khiển</t>
  </si>
  <si>
    <t>Đã xây dựng topology mạng doanh nghiệp HQ/Branch, các VLAN, Underlay và SD-WAN; mô hình hóa topology trên Mininet.</t>
  </si>
  <si>
    <t>Sơ đồ topology mạng HQ/Branch và thiết kế kết nối giữa các thành phần.</t>
  </si>
  <si>
    <t>Chuẩn bị testbed, controller &amp; công cụ</t>
  </si>
  <si>
    <t>Đã chuẩn bị môi trường Mininet, Open vSwitch và ONOS; xây dựng topology và kiểm tra kết nối giữa các switch với Controller.</t>
  </si>
  <si>
    <t>Môi trường Mininet, Open vSwitch và ONOS được cài đặt và cấu hình phục vụ mô phỏng.</t>
  </si>
  <si>
    <t>Xây dựng kế hoạch kiểm thử</t>
  </si>
  <si>
    <t>Đã xây dựng các kịch bản kiểm thử kết nối, VLAN, routing, flow rule, latency, throughput và packet loss.</t>
  </si>
  <si>
    <t>Bộ kịch bản kiểm thử và các tiêu chí đánh giá hệ thống.</t>
  </si>
  <si>
    <t>Proof of Concept điều khiển routing</t>
  </si>
  <si>
    <t>Đang kiểm tra khả năng điều khiển switch và luồng dữ liệu thông qua ONOS trên topology Mininet.</t>
  </si>
  <si>
    <t>Mô hình PoC điều khiển switch và flow cơ bản thông qua ONOS.</t>
  </si>
  <si>
    <t>Xây dựng phiên bản MVP</t>
  </si>
  <si>
    <t>Triển khai phiên bản đầu của hệ thống quản lý mạng trên môi trường Windows, xây dựng và kiểm tra các thành phần chức năng chính của hệ thống.</t>
  </si>
  <si>
    <t>Phiên bản MVP của hệ thống được triển khai trên môi trường Windows.</t>
  </si>
  <si>
    <t>Tổng hợp kết quả từ quá trình thiết kế, mô phỏng trên Mininet và triển khai bước đầu trên môi trường Windows.</t>
  </si>
  <si>
    <t>Hoàn thiện các chức năng điều khiển mạng, quản lý luồng và chính sách định tuyến; kiểm tra khả năng tương tác giữa hệ thống quản lý và các thành phần mạng.</t>
  </si>
  <si>
    <t>Các chức năng điều khiển mạng, quản lý flow và chính sách định tuyến được hoàn thiện.</t>
  </si>
  <si>
    <t>Tích hợp các thành phần của hệ thống trên Windows, hoàn thiện kết nối giữa giao diện quản lý, Controller và các thành phần mạng; kiểm tra khả năng đồng bộ cấu hình.</t>
  </si>
  <si>
    <t>Các thành phần hệ thống được tích hợp và hoạt động đồng bộ trên môi trường Windows.</t>
  </si>
  <si>
    <t>Ghi nhận quá trình triển khai trên Windows, lưu lại cấu hình, mã nguồn, hình ảnh giao diện, kết quả kiểm thử và các lỗi phát sinh trong quá trình thực nghiệm.</t>
  </si>
  <si>
    <t>Technical Log, mã nguồn, cấu hình và hình ảnh minh chứng quá trình triển khai được lưu trữ.</t>
  </si>
  <si>
    <t>BẢNG THEO DÕI TIẾN ĐỘ THỰC HIỆN ĐỀ TÀI - NHÓM 04</t>
  </si>
  <si>
    <t>Xây dựng Campus Network sử dụng SDN và SD-WAN</t>
  </si>
  <si>
    <t xml:space="preserve">Trần Hữu Nhân-52300235 </t>
  </si>
  <si>
    <t xml:space="preserve">Nguyễn Nhật Hào- 52300198 </t>
  </si>
  <si>
    <t>52300235@student.tdtu.edu.vn</t>
  </si>
  <si>
    <t>52300198@student.tdtu.edu.vn</t>
  </si>
  <si>
    <t>Khảo sát &amp; phân tích yêu cầu</t>
  </si>
  <si>
    <t>Khảo sát hiện trạng, xác định phạm vi, mục tiêu đồ án</t>
  </si>
  <si>
    <t>Phát biểu bài toán: mạng campus 4 cơ sở (Cần Thơ/Đà Nẵng/Nha Trang), yêu cầu hội tụ SDN (điều khiển L2 tập trung) + SD-WAN (định tuyến WAN thông minh giữa các site qua Internet/MPLS). Chọn công cụ mô phỏng EVE-NG, so sánh với GNS3/VMware.</t>
  </si>
  <si>
    <t>Sơ đồ tư duy phạm vi + danh sách hạ tầng cần triển khai trong lab</t>
  </si>
  <si>
    <t>Tìm hiểu cơ sở lý thuyết SDN (OpenFlow, controller Ryu, OVS)</t>
  </si>
  <si>
    <t>Trình bày kiến trúc SDN (data/control/application plane), giao thức OpenFlow 1.3, cơ chế table-miss, học MAC theo VLAN. Đối chiếu hành vi thực tế đã gặp trong lab (table-miss CONTROLLER vs NORMAL gây drop DHCP)</t>
  </si>
  <si>
    <t>Phần lý thuyết trong báo cáo + demo chạy thử Ryu điều khiển 1 OVS</t>
  </si>
  <si>
    <t>Tìm hiểu cơ sở lý thuyết SD-WAN (vManage/vSmart/vBond, vEdge, OMP/BFD/TLOC)</t>
  </si>
  <si>
    <t>Trình bày các role controller (orchestrator/smart/manage), cơ chế whitelist valid-vedges, OMP, BFD liveness, BGP CE-PE. Đối chiếu lỗi thực tế: thiếu route /24 ngả biz, thiếu whitelist sau reboot → vEdge rơi fabric.</t>
  </si>
  <si>
    <t>Phần lý thuyết SD-WAN trong báo cáo + ghi chú root-cause/lỗi đã gặp</t>
  </si>
  <si>
    <t>Thiết kế tổng thể</t>
  </si>
  <si>
    <t>Thiết kế kiến trúc mạng 4 campus + hạ tầng SDN/SD-WAN</t>
  </si>
  <si>
    <t>Vẽ topo tổng thể (campus chính + 3 chi nhánh + site controller 900), xác định luồng dữ liệu: VLAN 99 làm control-plane SDN; WAN 2 nhà cung cấp (Internet 203.0.113.0/24, MPLS 100.64.x.x/30). Quyết định tầng 3 chi nhánh = Firewall-as-Core.</t>
  </si>
  <si>
    <t>Sơ đồ topo Mermaid trong campus_network_sdn_sdwan.md + bản vẽ kiến trúc</t>
  </si>
  <si>
    <t>Bảng quy hoạch IP, VLAN, DHCP, ASN/BGP</t>
  </si>
  <si>
    <t>Hoàn thiện bảng IP 2.0–2.4 (gateway .1, PC .100–.199, server .10/.11); VLAN phòng ban từng site; bảng ASN (Internet 64511, MPLS 64512, site 65000/65010/65020/65030); quy ước System-IP OMP 10.200..x.</t>
  </si>
  <si>
    <t>Bảng 2.0–2.4 + bảng ASN/Peering trong tài liệu thiết kế</t>
  </si>
  <si>
    <t>Quy hoạch node/topology trên EVE-NG + quy trình đồng bộ host1→repo→host2</t>
  </si>
  <si>
    <t>Lập bảng ánh xạ thiết bị→node-id (configs/README.md), quy ước cổng console 33536+id, hiểu cơ chế embedded config trong .unl (51 node config="1"), quy trình wipe/start không phá config tay.</t>
  </si>
  <si>
    <t>configs/README.md + quy trình vận hành lab chuẩn hoá</t>
  </si>
  <si>
    <t>Triển khai hạ tầng campus (L2/L3)</t>
  </si>
  <si>
    <t>Cấu hình Core/Dist/Access: VLAN, trunk, STP, VRRP, OSPF nội bộ</t>
  </si>
  <si>
    <t>Core-SW1/2 (IOL): SVI từng VLAN, VRRP VIP .1, vtp mode off, switchport trunk encapsulation dot1q; Dist/Access qua Ryu (SDN). Verify OSPF FW↔Core full-mesh, route nội bộ đủ.</t>
  </si>
  <si>
    <t>Cấu hình config.cfg + nghiệm thu show ip ospf neighbor, show vlan brief</t>
  </si>
  <si>
    <t>Firewall ASAv HA + quản trị từ xa</t>
  </si>
  <si>
    <t>Cấu hình failover (Primary/Secondary), OSPF full mesh inside, Management0/0 trong VLAN 99, kích hoạt ASDM + PC-Management. Nghiệm thu failover bằng test ngắt link.</t>
  </si>
  <si>
    <t>HA active/standby OK, show failover state, ASDM đăng nhập từ 10.1.99.50</t>
  </si>
  <si>
    <t>DHCP-Server + phân phối địa chỉ end-to-end</t>
  </si>
  <si>
    <t>Win Server 2012: tạo 4 scope VLAN10/20/30/40; Core SVI ip helper-address 10.1.90.10. Công việc đang dở: DHCP-Server nhận Discover nhưng chưa trả OFFER → điều tra service/scope/giaddr, capture 2 chiều tap 72/24; xong sẽ là mốc chứng minh hoạt động.</t>
  </si>
  <si>
    <t>VPC14/VPC phòng ban nhận IP đúng scope + video minh chứng</t>
  </si>
  <si>
    <t>Triển khai SDN (campus chính)</t>
  </si>
  <si>
    <t>Khởi tạo controller Ryu + kết nối 6 switch OVS</t>
  </si>
  <si>
    <t>Chạy Ryu trên node 9 (10.1.99.10, port 6653/8080), OVS: OpenFlow13, datapath-id, fail_mode=secure, control qua VLAN 99. Nghiệm thu /stats/switches = 6 switch, flow table đúng (table-miss priority 0). Đang còn: Access-SW3/4 (70/69) chưa kết nối.</t>
  </si>
  <si>
    <t>6 switch connect + chứng minh chuyển mạch qua SDN (</t>
  </si>
  <si>
    <t>App L2 SDN (học MAC theo VLAN, flood đúng VLAN, ACL)</t>
  </si>
  <si>
    <t>Hoàn thiện campus_switch_13.py: table-miss OUTPUT:NORMAL tự cài lại mỗi lần connect (patch 05/09), NORMAL catch-all priority 1000, flow VLAN 99 không bị xoá khi OVS chuyển standalone→secure. Đưa bản patch về repo configs/.</t>
  </si>
  <si>
    <t>App Ryu chạy ổn định qua restart + datapath không drop broadcast</t>
  </si>
  <si>
    <t>Triển khai SD-WAN (site 900 + 4 site)</t>
  </si>
  <si>
    <t>Dựng 3 controller (vManage/vSmart/vBond) + PKI</t>
  </si>
  <si>
    <t>Cấu hình chức năng controllers, sinh CA root (sdwan-ca), luồng CSR/ký/cài root-chain/cert (recipe PKI), whitelist valid-vedges đủ 8 serial trên cả 3 controller. Lưu ý sau reboot DB whitelist là runtime → phải add lại (đã fix 06/09).</t>
  </si>
  <si>
    <t>8 vEdge reachable/green trên vManage, control summary đủ vbond/vmanage/vsmart</t>
  </si>
  <si>
    <t>Onboard 8 vEdge + route tới controller, BFD/control connections</t>
  </si>
  <si>
    <t>Mỗi vEdge: 2 WAN (biz-internet + mpls), route tới controller LAN theo /24 ECMP (rút kinh nghiệm S100), tunnel-interface IPsec, boot bfd. Nghiệm thu BFD up đủ 2 màu, controlConn=3 cho S100.</t>
  </si>
  <si>
    <t>show bfd summary full up, 8/8 vEdge reachable, tunnel health good</t>
  </si>
  <si>
    <t>Định tuyến liên site: BGP CE-PE + mạng đăng ký trên vEdge</t>
  </si>
  <si>
    <t>vEdge đăng ký prefix nội bộ lên OMP, SP quảng bá default (default-originate), backbone eBGP 64511↔64512 Established. Nghiệm thu route học qua show ip bgp, ping liên site qua tunnel.</t>
  </si>
  <si>
    <t>Bảng route OMP/BGP đầy đủ + test ping site 100→200/300/400</t>
  </si>
  <si>
    <t>Triển khai chi nhánh 200/300/400</t>
  </si>
  <si>
    <t>Brand-FW (DHCP + router-on-a-stick) + SwitchBrand + switch phòng ban + VPC</t>
  </si>
  <si>
    <t>Áp recipe 8 bước cho từng site: dhcpd Brand-FW (S200: vlan60/70, S300: v80/90, S400: v50/60), SVI Vlan99, trunk encapsulation dot1q, VPC ip dhcp. Còn dở: S200/S300 IOL mới chỉ làm S400.</t>
  </si>
  <si>
    <t>4 VPC/site nhận IP đúng scope, bảng nghiệm thu DHCP từng site</t>
  </si>
  <si>
    <t>vEdge chi nhánh join fabric + kết nối SP 2 hướng</t>
  </si>
  <si>
    <t>Dùng recipe onboard để 6 vEdge chi nhánh (2/site) lên fabric, verify BFD/tunnel, phân bố route site lên OMP, firewall chi nhánh ra Internet qua SD-WAN.</t>
  </si>
  <si>
    <t>Đủ 8/8 vEdge hoạt động + ping/truy cập liên chi nhánh</t>
  </si>
  <si>
    <t>Dịch vụ mạng (campus)</t>
  </si>
  <si>
    <t>Web / Mail / Syslog / PC-Management</t>
  </si>
  <si>
    <t>Cài dịch vụ trên Win7 (XAMPP web, mail client, Kiwi Syslog), FW ghi log về Syslog 10.1.90.x (net54), hoàn thiện kịch bản quản trị qua ASDM.</t>
  </si>
  <si>
    <t>Truy cập Web đa site, syslog nhận log FW, demo ASDM</t>
  </si>
  <si>
    <t>Kiểm thử tích hợp &amp; đánh giá</t>
  </si>
  <si>
    <t>Test scenario end-to-end (DHCP toàn campus, SD-WAN failover, SDN hoạt động)</t>
  </si>
  <si>
    <t>Lập ma trận test: (1) DHCP từng site, (2) failover FW-HA, (3) cắt 1 màu WAN → BFD phát hiện + chuyển đổi tunnel, (4) mất controller → switch hành vi ra sao. Ghi kết quả/ảnh chụp màn hình.</t>
  </si>
  <si>
    <t>Ma trận test + log nghiệm thu + video demo từng kịch bản</t>
  </si>
  <si>
    <t>BẢNG THEO DÕI TIẾN ĐỘ THỰC HIỆN ĐỀ TÀI - NHÓM 05</t>
  </si>
  <si>
    <t>Tự động hóa mạng doanh nghiệp dựa trên Intent cho
LAN, VLAN và SD-WAN sử dụng trí tuệ nhân tạo</t>
  </si>
  <si>
    <t>Nguyễn Đăng Khoa - 52300210</t>
  </si>
  <si>
    <t>[Họ tên SV 2 - MSSV]</t>
  </si>
  <si>
    <t>52300210@student.tdtu.edu.vn</t>
  </si>
  <si>
    <t>[email2@student.tdtu.edu.vn]</t>
  </si>
  <si>
    <t>BẢNG THEO DÕI TIẾN ĐỘ THỰC HIỆN ĐỀ TÀI - NHÓM 06</t>
  </si>
  <si>
    <t>[Nhóm 06 - Điền tên đề tài tại đây]</t>
  </si>
  <si>
    <t>[Họ tên SV 1 - MSSV]</t>
  </si>
  <si>
    <t>[email1@student.tdtu.edu.vn]</t>
  </si>
  <si>
    <t>BẢNG THEO DÕI TIẾN ĐỘ THỰC HIỆN ĐỀ TÀI - NHÓM 07</t>
  </si>
  <si>
    <t>Dự án + Đồ án</t>
  </si>
  <si>
    <t>Tự động hóa cấu hình VLAN và SD-WAN bằng Python và SDN</t>
  </si>
  <si>
    <t>Võ Anh Khoa - 52300211</t>
  </si>
  <si>
    <t>Đặng Ngọc Kim Khánh - 52300208</t>
  </si>
  <si>
    <t>52300211@student.tdtu.edu.vn</t>
  </si>
  <si>
    <t>52300208@student.tdtu.edu.vn</t>
  </si>
  <si>
    <t>Loại hình thứ 2:</t>
  </si>
  <si>
    <t>Tự động hóa cấu hình VLAN và SD-WAN theo mô hình Intent sử dụng AI, Python và SDN</t>
  </si>
  <si>
    <t>Xác định bài toán: Tự động hóa cấu hình 10 VLAN tập trung qua web, áp dụng Zero-Trust ACL. Quản trị phân tán chi nhánh với SDN thay cho cấu hình CLI thủ công.</t>
  </si>
  <si>
    <t>Cả hai</t>
  </si>
  <si>
    <t>Khảo sát Ryu Controller, Open vSwitch cho Data plane. Khảo sát khác biệt giữa router truyền thống (IOSv) và mô hình điều khiển tập trung qua API.</t>
  </si>
  <si>
    <t>Khoa</t>
  </si>
  <si>
    <t>Lựa chọn stack: Ryu Controller chạy trên Ubuntu Server (kết nối Tailscale), GNS3 chạy trên Windows, Dashboard sử dụng Python/Flask.</t>
  </si>
  <si>
    <t>Setup GitHub repository. Phân công: Khoa xử lý logic backend SDN (Python/Ryu), Khánh phụ trách giao diện Web Dashboard (Flask/HTML/JS).</t>
  </si>
  <si>
    <t>Vẽ sơ đồ Topology 3 lớp (Core, Distribution, Access) với 4 OVS trên GNS3. Thiết kế luồng gọi Ryu REST API từ Flask để đẩy Flow Rules.</t>
  </si>
  <si>
    <t>Triển khai GNS3 thành công với OVS Docker. Thiết lập kết nối Tailscale giữa Ryu và OVS. Cài đặt các scripts tự động lấy thông tin DPID của Switch.</t>
  </si>
  <si>
    <t>Lên kịch bản test: Ping liên VLAN, kiểm tra ma trận ACL (chặn/mở), đo thời gian triển khai rule so với làm thủ công.</t>
  </si>
  <si>
    <t>Khánh</t>
  </si>
  <si>
    <t>Code thành công auto_vlan.py đẩy Flow table 0 &amp; 1 qua Ryu REST API. Tính năng gán cổng giao diện đã hoạt động và cô lập được mạng L2.</t>
  </si>
  <si>
    <t>Hoàn thiện MVP Dashboard: Thêm/Xóa/Sửa VLAN, Gán cổng kéo thả, Ma trận ACL. Tích hợp xử lý Đa luồng (Threading) để đẩy hàng trăm rules trong 1-2 giây.</t>
  </si>
  <si>
    <t>Cập nhật tiến độ hệ thống lên phiếu, xin chữ ký GVHD. Viết báo cáo tóm tắt các tính năng MVP đã chạy thực tế.</t>
  </si>
  <si>
    <t>Áp dụng LLM dịch ý định cấu hình, dùng thuật toán học máy (BiGRU/Random Forest) phân tích telemetry để phát hiện nghẽn và tự định tuyến SD-WAN.</t>
  </si>
  <si>
    <t>Đọc các paper về Intent-Based Networking (IBN), QoS, và ứng dụng Machine Learning trong việc phân loại lưu lượng và dự báo hiệu năng mạng SDN.</t>
  </si>
  <si>
    <t>Thiết kế kiến trúc vòng lặp khép kín (Closed-loop): Telemetry Data ➔ AI Analysis ➔ Policy Engine (Python) ➔ SDN Controller (Ryu/FRR).</t>
  </si>
  <si>
    <t>Lên lộ trình: Giai đoạn 1 thu thập Dataset mạng thực tế; Giai đoạn 2 huấn luyện mô hình; Giai đoạn 3 code luồng Failover tự động.</t>
  </si>
  <si>
    <t>Đề xuất schema cho CSDL mạng (telemetry_dataset.csv). Thiết kế giải thuật chấm điểm (scoring algorithm) lựa chọn đường truyền dựa trên delay/loss/jitter.</t>
  </si>
  <si>
    <t>Viết thành công luồng (daemon thread) chạy ngầm trong Flask, tự động gọi Ryu REST API mỗi 5s để thu thập Port stats/Flow stats ghi vào file CSV.</t>
  </si>
  <si>
    <t>Chuẩn bị kịch bản thực nghiệm dùng lệnh Linux tc netem tạo độ trễ giả và iperf3 tạo nghẽn băng thông để gán nhãn cho bộ dataset.</t>
  </si>
  <si>
    <t>Đang tiến hành cài đặt mô phỏng router Linux (FRRouting) trong GNS3 để thay thế Cisco IOSv, phục vụ PoC chuyển đường động (Path Selection).</t>
  </si>
  <si>
    <t>Thu thập thành công luồng dữ liệu telemetry cơ bản. Đang phát triển module Path Selector và thử nghiệm cấu trúc Intent parsing cho LLM.</t>
  </si>
  <si>
    <t>Hoàn tất thu thập báo cáo tiến độ, minh chứng hoạt động của module thu thập dữ liệu (Telemetry worker) trình GVHD.</t>
  </si>
  <si>
    <t>BẢNG THEO DÕI TIẾN ĐỘ THỰC HIỆN ĐỀ TÀI - NHÓM 08</t>
  </si>
  <si>
    <t>[Nhóm 08 - Điền tên đề tài tại đây]</t>
  </si>
  <si>
    <t>BẢNG THEO DÕI TIẾN ĐỘ THỰC HIỆN ĐỀ TÀI - NHÓM 09</t>
  </si>
  <si>
    <t>Mạng doanh nghiệp tự phục hồi sử dụng SD-WAN và cơ chế khôi phục sự cố thông minh</t>
  </si>
  <si>
    <t>Đặng Hoàng Phú - 52300237</t>
  </si>
  <si>
    <t>Tiêu Thế Bảo - 52300180</t>
  </si>
  <si>
    <t>52300237@student.tdtu.edu.vn</t>
  </si>
  <si>
    <t>52300180@student.tdtu.edu.vn</t>
  </si>
  <si>
    <t>Nghiên cứu khoảng trống khoa học về bài toán tự phục hồi mạng doanh nghiệp kết hợp SDN (cho mạng nội bộ LAN) và SD-WAN (cho mạng diện rộng WAN) với cơ chế AI khôi phục sự cố thông minh.</t>
  </si>
  <si>
    <t>Bản đề xuất đề tài (Research Proposal) + Tài liệu phát biểu bài toán tự phục hồi mạng SDN/SD-WAN + AI</t>
  </si>
  <si>
    <t>Đặng Hoàng Phú, Tiêu Thế Bảo</t>
  </si>
  <si>
    <t>Khảo sát các bài báo khoa học quốc tế về SDN, SD-WAN, thu thập dữ liệu mạng và phát hiện bất thường bằng Học máy/Học sâu; lập ma trận so sánh các nghiên cứu liên quan.</t>
  </si>
  <si>
    <t>Tài liệu thuyết minh Khung lý thuyết &amp; Đặc tả kiến trúc tổng thể hệ thống (Telemetry -&gt; AI Detection -&gt; RCA -&gt; Controllers)</t>
  </si>
  <si>
    <t>Xây dựng khung lý thuyết cho kiến trúc tự phục hồi: Thu thập dữ liệu mạng -&gt; Phát hiện bất thường (Thuật toán Isolation Forest) -&gt; Phân tích nguyên nhân gốc -&gt; Động cơ ra quyết định -&gt; Bộ điều khiển.</t>
  </si>
  <si>
    <t>Xây dựng lộ trình 21 Giai đoạn, khởi tạo kho mã nguồn Git, hoàn thành Giai đoạn 0-6 cho hạ tầng mạng cơ sở (Kiến trúc 4 chi nhánh, VLAN, Chuẩn định tuyến OSPF, Đệm cổng VRRP, Dịch vụ DHCP/DNS/NTP, kịch bản kiểm tra tự động).</t>
  </si>
  <si>
    <t xml:space="preserve">Bộ mã nguồn Hạ tầng mạng cơ sở 4 site (src/topology/, src/config/) </t>
  </si>
  <si>
    <t>Thiết kế Giai đoạn 7-10: Tường lửa &amp; Kiểm soát truy cập (ACL), Cân bằng tải Trung tâm dữ liệu (HAProxy/IP ảo), mô phỏng 5 đường truyền WAN (MPLS, Internet, LTE, 5G, VPN qua tc netem), bộ điều khiển SD-WAN tự viết.</t>
  </si>
  <si>
    <t>Mã nguồn mô phỏng 5 đường truyền WAN (src/topology/wan/wan_links.py) + Bộ điều khiển SD-WAN Controller tự viết (src/controller/sdwan/)</t>
  </si>
  <si>
    <t>Thiết kế Giai đoạn 11-12B: Lưu lượng thoại VoIP (Asterisk), Bộ thu thập dữ liệu telemetry (SNMP, OpenFlow, Syslog) và Giao diện giám sát NOC thời gian thực (Flask, WebSocket, biểu đồ tương tác).</t>
  </si>
  <si>
    <t>Mã nguồn Bộ thu thập dữ liệu Telemetry Collector + Giao diện giám sát tập trung NOC Dashboard thời gian thực (src/noc/, web port 5050)</t>
  </si>
  <si>
    <t>Thiết kế Giai đoạn 13-14: Đường ống tương quan sự kiện, Bộ quy tắc OpenFlow trên Controller Ryu cho mạng LAN, chuẩn bị bộ 12 kịch bản gây sự cố chủ động (F01-F12).</t>
  </si>
  <si>
    <t>Bộ 12 kịch bản gây lỗi mạng tự động F01-F12 (src/fault_injection/) + Bộ quy tắc luồng OpenFlow trên Ryu Controller (src/controller/sdn/)</t>
  </si>
  <si>
    <t>Xây dựng Giai đoạn 15-16: Thuật toán phát hiện bất thường AI (Isolation Forest), Động cơ phân tích nguyên nhân gốc (RCA); kiểm thử PoC trên mạng mô phỏng Mininet.</t>
  </si>
  <si>
    <t>Mã nguồn Mô-đun AI Phát hiện bất thường Isolation Forest (src/ai_engine/anomaly_detector.py) + Động cơ phân tích nguyên nhân gốc RCA (src/ai_engine/rca_engine.py) + Báo cáo kết quả thử nghiệm PoC</t>
  </si>
  <si>
    <t>Lập trình Giai đoạn 17-18: Động cơ ra quyết định khôi phục, tích hợp luồng điều khiển tự động từ AI sang Bộ điều khiển Ryu SDN / SD-WAN Controller; tối ưu siêu tham số mô hình.</t>
  </si>
  <si>
    <t>Mã nguồn Động cơ ra quyết định khôi phục (src/ai_engine/recovery_engine.py) + Luồng tích hợp tự động AI với Ryu SDN &amp; SD-WAN Controller</t>
  </si>
  <si>
    <t>Chuẩn bị nộp phiếu theo dõi tiến độ có nhận xét của GVHD ThS. Lê Việt Thanh và nộp báo cáo giữa kỳ trên hệ thống ELIT theo quy định của Khoa Công nghệ Thông tin.</t>
  </si>
  <si>
    <t>Triển khai Giai đoạn 19-20: Thử nghiệm Vòng lặp tự khôi phục (Self-Healing Loop) với 12 kịch bản sự cố (F01-F12) và so sánh với phương pháp định tuyến truyền thống (OSPF/VRRP/STP tĩnh).</t>
  </si>
  <si>
    <t>Mã nguồn Vòng lặp tự khôi phục tự động (Self-Healing Loop) (src/evaluation/) + Bộ mã nguồn mô hình đối chứng truyền thống</t>
  </si>
  <si>
    <t>Triển khai Giai đoạn 21: Thử nghiệm chịu tải diện rộng trên toàn bộ 4 chi nhánh (88 thiết bị đầu cuối, 22 switch), đo đạc thời gian phục hồi trung bình (MTTR), độ trễ, tỷ lệ mất gói và băng thông.</t>
  </si>
  <si>
    <t>Tập dữ liệu kết quả thực nghiệm diện rộng toàn diệnTập dữ liệu kết quả đo đạc thực nghiệm diện rộng 88 thiết bị + File lưu nhật ký chỉ số MTTR, Độ trễ, Mất gói, Băng thông (src/evaluation/metrics.py)</t>
  </si>
  <si>
    <t>Lưu giữ nhật ký nghiên cứu khoa học, lịch sử lưu mã nguồn Git, tập tin nhật ký thu thập mạng, trọng số mô hình AI, đảm bảo tính tái lập (Reproducibility).</t>
  </si>
  <si>
    <t>Nhật ký nghiên cứu (Research Logbook) + Lịch sử lưu mã nguồn Git repo src/ + Thư mục lưu vết tập tin dữ liệu thô &amp; Trọng số mô hình</t>
  </si>
  <si>
    <t>Xử lý số liệu đo đạc, kiểm định ý nghĩa thống kê khoa học nhằm chứng minh sự cải thiện vượt trội về thời gian khôi phục mạng và tính ổn định dịch vụ.</t>
  </si>
  <si>
    <t>Báo cáo phân tích thống kê định lượng + Bảng kết quả kiểm định ý nghĩa thống kê (t-test, Wilcoxon) so sánh thời gian khôi phục</t>
  </si>
  <si>
    <t>Thực nghiệm loại trừ từng thành phần (chỉ có SDN, chỉ có SD-WAN, không có AI phân tích nguyên nhân, không có QoS) để chứng minh giá trị đóng góp riêng biệt của từng mô-đun.</t>
  </si>
  <si>
    <t>Báo cáo phân tích đóng góp riêng lẻ từng thành phần chuyên sâu</t>
  </si>
  <si>
    <t>Xuất biểu đồ chuẩn học thuật: Ma trận nhầm lẫn phát hiện lỗi, đường cong hội tụ huấn luyện, biểu đồ so sánh thời gian khôi phục (MTTR) trước và sau khi có AI.</t>
  </si>
  <si>
    <t>Bộ hình vẽ &amp; biểu đồ đạt chuẩn xuất bản báo cáo khoa học</t>
  </si>
  <si>
    <t>Phân tích nguyên nhân giúp kiến trúc đạt hiệu quả khôi phục cao, phân tích các trường hợp báo động giả do nhiễu dữ liệu, đánh giá hạn chế mô phỏng trên Mininet.</t>
  </si>
  <si>
    <t>Soạn thảo Chương 1 (Giới thiệu đề tài), Chương 2 (Cơ sở lý thuyết &amp; Tổng quan nghiên cứu), Chương 3 (Thiết kế kiến trúc hệ thống mạng tự phục hồi).</t>
  </si>
  <si>
    <t>Soạn thảo Chương 4 (Triển khai thực nghiệm &amp; Kịch bản lỗi), Chương 5 (Kết quả thực nghiệm, Đánh giá hiệu năng &amp; Thảo luận đóng góp).</t>
  </si>
  <si>
    <t>Viết phần Kết luận, Hướng phát triển tương lai, Tóm tắt song ngữ (Anh - Việt), kiểm tra toàn bộ danh mục tài liệu tham khảo theo chuẩn IEEE/APA.</t>
  </si>
  <si>
    <t>Trình Giảng viên hướng dẫn ThS. Lê Việt Thanh duyệt góp ý chuyên sâu; chạy kiểm tra tỷ lệ trùng lặp học thuật trên phần mềm Turnitin (&lt; 15%).</t>
  </si>
  <si>
    <t xml:space="preserve">Khóa toàn bộ nội dung báo cáo, chuẩn hóa định dạng theo đúng quy định Khóa luận </t>
  </si>
  <si>
    <t>Nộp tập tin báo cáo mềm lên hệ thống Khoa + Nộp 03 cuốn báo cáo in bìa thường kèm đĩa CD chứa toàn bộ mã nguồn hệ thống tại Văn phòng Khoa CNTT.</t>
  </si>
  <si>
    <t>Nhận phiếu xác nhận và chữ ký duyệt của Giảng viên hướng dẫn ThS. Lê Việt Thanh đủ điều kiện ra báo cáo trước Hội đồng phản biện.</t>
  </si>
  <si>
    <t>Trình bày kết quả nghiên cứu hệ thống mạng tự phục hồi SD-WAN kết hợp AI với Giảng viên phản biện; giải trình các thắc mắc &amp; nhận phiếu chấm điểm phản biện.</t>
  </si>
  <si>
    <t>Báo cáo và trình diễn trực tiếp (Demo) hệ thống tự phục hồi mạng trước Hội đồng chấm Khóa luận tốt nghiệp Trường Đại học Tôn Đức Thắng (Học kỳ 1 năm học 2026-2027).</t>
  </si>
  <si>
    <t>Hoàn thiện chỉnh sửa báo cáo theo biên bản góp ý của Hội đồng, đóng 01 cuốn bìa mạ vàng chính thức và nộp lưu trữ về Văn phòng Khoa Công nghệ Thông tin.</t>
  </si>
  <si>
    <t>BẢNG THEO DÕI TIẾN ĐỘ THỰC HIỆN ĐỀ TÀI - NHÓM 10</t>
  </si>
  <si>
    <t>[Nhóm 10 - Điền tên đề tài tại đây]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</si>
</sst>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font>
      <sz val="11"/>
      <color theme="1"/>
      <name val="Calibri"/>
      <scheme val="minor"/>
    </font>
    <font>
      <sz val="13.2"/>
      <color theme="1"/>
      <name val="Calibri"/>
      <family val="2"/>
      <scheme val="minor"/>
    </font>
    <font>
      <sz val="13.2"/>
      <name val="Calibri"/>
      <family val="2"/>
    </font>
    <font>
      <sz val="13.2"/>
      <color theme="1"/>
      <name val="Calibri"/>
      <family val="2"/>
    </font>
    <font>
      <b/>
      <sz val="16.8"/>
      <color rgb="FF1B365D"/>
      <name val="Calibri"/>
      <family val="2"/>
    </font>
    <font>
      <i/>
      <sz val="10.8"/>
      <color rgb="FF475569"/>
      <name val="Calibri"/>
      <family val="2"/>
    </font>
    <font>
      <b/>
      <sz val="9.6"/>
      <color rgb="FF475569"/>
      <name val="Calibri"/>
      <family val="2"/>
    </font>
    <font>
      <b/>
      <sz val="18"/>
      <color rgb="FF204066"/>
      <name val="Calibri"/>
      <family val="2"/>
    </font>
    <font>
      <b/>
      <sz val="10.8"/>
      <color rgb="FFFFFFFF"/>
      <name val="Calibri"/>
      <family val="2"/>
    </font>
    <font>
      <b/>
      <sz val="10.8"/>
      <color theme="1"/>
      <name val="Calibri"/>
      <family val="2"/>
    </font>
    <font>
      <sz val="10.8"/>
      <color theme="1"/>
      <name val="Calibri"/>
      <family val="2"/>
    </font>
    <font>
      <b/>
      <sz val="15.6"/>
      <color rgb="FF1B365D"/>
      <name val="Calibri"/>
      <family val="2"/>
    </font>
    <font>
      <b/>
      <sz val="12"/>
      <color rgb="FF1B365D"/>
      <name val="Calibri"/>
      <family val="2"/>
    </font>
    <font>
      <b/>
      <sz val="12"/>
      <color rgb="FFB91C1C"/>
      <name val="Calibri"/>
      <family val="2"/>
    </font>
    <font>
      <i/>
      <sz val="10.8"/>
      <color theme="1"/>
      <name val="Calibri"/>
      <family val="2"/>
    </font>
    <font>
      <sz val="9.6"/>
      <color rgb="FF475569"/>
      <name val="Calibri"/>
      <family val="2"/>
    </font>
    <font>
      <b/>
      <sz val="10.8"/>
      <color rgb="FFB91C1C"/>
      <name val="Calibri"/>
      <family val="2"/>
    </font>
    <font>
      <b/>
      <sz val="10.8"/>
      <color rgb="FF2563EB"/>
      <name val="Calibri"/>
      <family val="2"/>
    </font>
    <font>
      <i/>
      <sz val="10.8"/>
      <color rgb="FF808080"/>
      <name val="Calibri"/>
      <family val="2"/>
    </font>
    <font>
      <sz val="10.8"/>
      <color rgb="FF000000"/>
      <name val="Calibri"/>
      <family val="2"/>
    </font>
    <font>
      <i/>
      <sz val="9"/>
      <color rgb="FF94A3B8"/>
      <name val="Calibri"/>
      <scheme val="minor"/>
    </font>
    <font>
      <sz val="9"/>
      <color indexed="81"/>
      <name val="Tahoma"/>
      <charset val="1"/>
    </font>
    <font>
      <b/>
      <sz val="9"/>
      <color indexed="81"/>
      <name val="Tahoma"/>
      <charset val="1"/>
    </font>
    <font>
      <u/>
      <sz val="11"/>
      <color theme="10"/>
      <name val="Calibri"/>
      <scheme val="minor"/>
    </font>
    <font>
      <sz val="12"/>
      <color rgb="FF212529"/>
      <name val="Source Sans Pro"/>
      <charset val="1"/>
    </font>
    <font>
      <b/>
      <sz val="10.8"/>
      <color rgb="FF000000"/>
      <name val="Calibri"/>
      <family val="2"/>
    </font>
    <font>
      <i/>
      <sz val="10.8"/>
      <color rgb="FF000000"/>
      <name val="Calibri"/>
      <family val="2"/>
    </font>
    <font>
      <b/>
      <sz val="12"/>
      <color rgb="FF000000"/>
      <name val="Calibri"/>
      <scheme val="major"/>
    </font>
    <font>
      <sz val="12"/>
      <color rgb="FF000000"/>
      <name val="Calibri"/>
      <scheme val="major"/>
    </font>
    <font>
      <i/>
      <sz val="12"/>
      <color rgb="FF000000"/>
      <name val="Calibri"/>
      <scheme val="major"/>
    </font>
    <font>
      <b/>
      <sz val="10.8"/>
      <color rgb="FFC00000"/>
      <name val="Calibri"/>
    </font>
    <font>
      <i/>
      <sz val="14"/>
      <color theme="1"/>
      <name val="Calibri"/>
      <family val="2"/>
    </font>
    <font>
      <sz val="14"/>
      <name val="Calibri"/>
      <family val="2"/>
    </font>
  </fonts>
  <fills count="15">
    <fill>
      <patternFill patternType="none"/>
    </fill>
    <fill>
      <patternFill patternType="gray125"/>
    </fill>
    <fill>
      <patternFill patternType="solid">
        <fgColor rgb="FFF0F4F8"/>
        <bgColor rgb="FFF0F4F8"/>
      </patternFill>
    </fill>
    <fill>
      <patternFill patternType="solid">
        <fgColor rgb="FF204066"/>
        <bgColor rgb="FF204066"/>
      </patternFill>
    </fill>
    <fill>
      <patternFill patternType="solid">
        <fgColor rgb="FFFEF3C7"/>
        <bgColor rgb="FFFEF3C7"/>
      </patternFill>
    </fill>
    <fill>
      <patternFill patternType="solid">
        <fgColor rgb="FFF8FAFC"/>
        <bgColor rgb="FFF8FAFC"/>
      </patternFill>
    </fill>
    <fill>
      <patternFill patternType="solid">
        <fgColor rgb="FFE0F2FE"/>
        <bgColor rgb="FFE0F2FE"/>
      </patternFill>
    </fill>
    <fill>
      <patternFill patternType="solid">
        <fgColor rgb="FFDCFCE7"/>
        <bgColor rgb="FFDCFCE7"/>
      </patternFill>
    </fill>
    <fill>
      <patternFill patternType="solid">
        <fgColor rgb="FFF3E8FF"/>
        <bgColor rgb="FFF3E8FF"/>
      </patternFill>
    </fill>
    <fill>
      <patternFill patternType="solid">
        <fgColor rgb="FFFEE2E2"/>
        <bgColor rgb="FFFEE2E2"/>
      </patternFill>
    </fill>
    <fill>
      <patternFill patternType="solid">
        <fgColor rgb="FFFFFDE7"/>
        <bgColor indexed="64"/>
      </patternFill>
    </fill>
    <fill>
      <patternFill patternType="solid">
        <fgColor rgb="FFF8FAFC"/>
        <bgColor indexed="64"/>
      </patternFill>
    </fill>
    <fill>
      <patternFill patternType="solid">
        <fgColor rgb="FFFEF3C7"/>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1B365D"/>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diagonal/>
    </border>
    <border>
      <left/>
      <right/>
      <top/>
      <bottom style="thin">
        <color rgb="FF000000"/>
      </bottom>
      <diagonal/>
    </border>
    <border>
      <left style="thin">
        <color rgb="FFCBD5E1"/>
      </left>
      <right style="thin">
        <color rgb="FFCBD5E1"/>
      </right>
      <top/>
      <bottom style="thin">
        <color rgb="FFCBD5E1"/>
      </bottom>
      <diagonal/>
    </border>
  </borders>
  <cellStyleXfs count="2">
    <xf numFmtId="0" fontId="0" fillId="0" borderId="0"/>
    <xf numFmtId="0" fontId="23" fillId="0" borderId="0" applyNumberFormat="0" applyFill="0" applyBorder="0" applyAlignment="0" applyProtection="0"/>
  </cellStyleXfs>
  <cellXfs count="97">
    <xf numFmtId="0" fontId="0" fillId="0" borderId="0" xfId="0"/>
    <xf numFmtId="0" fontId="3" fillId="0" borderId="1" xfId="0" applyFont="1" applyBorder="1"/>
    <xf numFmtId="0" fontId="6"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164" fontId="7" fillId="7" borderId="1"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164" fontId="9" fillId="7"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12" fillId="0" borderId="0" xfId="0" applyFont="1"/>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8" fillId="0" borderId="1" xfId="0" applyFont="1" applyBorder="1" applyAlignment="1">
      <alignment horizontal="left" vertical="center" wrapText="1"/>
    </xf>
    <xf numFmtId="0" fontId="18" fillId="4"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20" fillId="0" borderId="0" xfId="0" applyFont="1"/>
    <xf numFmtId="0" fontId="1" fillId="0" borderId="0" xfId="0" applyFont="1"/>
    <xf numFmtId="0" fontId="24" fillId="0" borderId="0" xfId="0" applyFont="1"/>
    <xf numFmtId="0" fontId="23" fillId="0" borderId="1" xfId="1" applyBorder="1" applyAlignment="1">
      <alignment horizontal="left" vertical="center" wrapText="1"/>
    </xf>
    <xf numFmtId="0" fontId="25"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25"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25" fillId="0" borderId="1" xfId="0" applyFont="1" applyBorder="1" applyAlignment="1">
      <alignment horizontal="left" vertical="center" wrapText="1"/>
    </xf>
    <xf numFmtId="0" fontId="26" fillId="0" borderId="1" xfId="0" applyFont="1" applyBorder="1" applyAlignment="1">
      <alignment horizontal="left" vertical="center" wrapText="1"/>
    </xf>
    <xf numFmtId="0" fontId="25" fillId="5" borderId="1" xfId="0" applyFont="1" applyFill="1" applyBorder="1" applyAlignment="1">
      <alignment horizontal="left" vertical="center" wrapText="1"/>
    </xf>
    <xf numFmtId="0" fontId="25" fillId="4" borderId="1" xfId="0" applyFont="1" applyFill="1" applyBorder="1" applyAlignment="1">
      <alignment horizontal="center" vertical="center" wrapText="1"/>
    </xf>
    <xf numFmtId="0" fontId="19" fillId="4" borderId="1" xfId="0" applyFont="1" applyFill="1" applyBorder="1" applyAlignment="1">
      <alignment horizontal="left" vertical="center" wrapText="1"/>
    </xf>
    <xf numFmtId="0" fontId="25" fillId="4"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19" fillId="4" borderId="1" xfId="0" applyFont="1" applyFill="1" applyBorder="1" applyAlignment="1">
      <alignment horizontal="center" vertical="center" wrapText="1"/>
    </xf>
    <xf numFmtId="0" fontId="29" fillId="5" borderId="1" xfId="0" applyFont="1" applyFill="1" applyBorder="1" applyAlignment="1">
      <alignment horizontal="left" vertical="center" wrapText="1"/>
    </xf>
    <xf numFmtId="0" fontId="28" fillId="10" borderId="1" xfId="0" applyFont="1" applyFill="1" applyBorder="1" applyAlignment="1">
      <alignment horizontal="left" vertical="center" wrapText="1"/>
    </xf>
    <xf numFmtId="14" fontId="28" fillId="5" borderId="1" xfId="0" applyNumberFormat="1" applyFont="1" applyFill="1" applyBorder="1" applyAlignment="1">
      <alignment horizontal="center" vertical="center" wrapText="1"/>
    </xf>
    <xf numFmtId="0" fontId="28" fillId="5"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7" fillId="0" borderId="1" xfId="0" applyFont="1" applyBorder="1" applyAlignment="1">
      <alignment horizontal="left" vertical="center" wrapText="1"/>
    </xf>
    <xf numFmtId="0" fontId="29" fillId="0" borderId="1" xfId="0" applyFont="1" applyBorder="1" applyAlignment="1">
      <alignment horizontal="left" vertical="center" wrapText="1"/>
    </xf>
    <xf numFmtId="14" fontId="28" fillId="0" borderId="1" xfId="0" applyNumberFormat="1" applyFont="1" applyBorder="1" applyAlignment="1">
      <alignment horizontal="center" vertical="center" wrapText="1"/>
    </xf>
    <xf numFmtId="0" fontId="27" fillId="5" borderId="1" xfId="0" applyFont="1" applyFill="1" applyBorder="1" applyAlignment="1">
      <alignment horizontal="left" vertical="center" wrapText="1"/>
    </xf>
    <xf numFmtId="0" fontId="28" fillId="4" borderId="1"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14" fontId="28" fillId="4" borderId="1" xfId="0" applyNumberFormat="1" applyFont="1" applyFill="1" applyBorder="1" applyAlignment="1">
      <alignment horizontal="center" vertical="center" wrapText="1"/>
    </xf>
    <xf numFmtId="0" fontId="27" fillId="0" borderId="0" xfId="0" applyFont="1" applyAlignment="1">
      <alignment vertical="center" wrapText="1"/>
    </xf>
    <xf numFmtId="0" fontId="28" fillId="0" borderId="0" xfId="0" applyFont="1" applyAlignment="1">
      <alignment vertical="center" wrapText="1"/>
    </xf>
    <xf numFmtId="14" fontId="28" fillId="0" borderId="0" xfId="0" applyNumberFormat="1" applyFont="1" applyAlignment="1">
      <alignment horizontal="center" vertical="center" wrapText="1"/>
    </xf>
    <xf numFmtId="0" fontId="27" fillId="0" borderId="8" xfId="0" applyFont="1" applyBorder="1" applyAlignment="1">
      <alignment horizontal="left" vertical="center" wrapText="1"/>
    </xf>
    <xf numFmtId="0" fontId="27" fillId="0" borderId="0" xfId="0" applyFont="1" applyBorder="1" applyAlignment="1">
      <alignment vertical="center" wrapText="1"/>
    </xf>
    <xf numFmtId="0" fontId="27" fillId="0" borderId="7" xfId="0" applyFont="1" applyBorder="1" applyAlignment="1">
      <alignment vertical="center" wrapText="1"/>
    </xf>
    <xf numFmtId="0" fontId="3" fillId="0" borderId="0" xfId="0" applyFont="1" applyBorder="1"/>
    <xf numFmtId="0" fontId="30" fillId="12"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4" fillId="0" borderId="3" xfId="0" applyFont="1" applyBorder="1" applyAlignment="1">
      <alignment horizontal="left" vertical="center" wrapText="1"/>
    </xf>
    <xf numFmtId="0" fontId="2" fillId="0" borderId="4" xfId="0" applyFont="1" applyBorder="1" applyAlignment="1"/>
    <xf numFmtId="0" fontId="2" fillId="0" borderId="5" xfId="0" applyFont="1" applyBorder="1" applyAlignment="1"/>
    <xf numFmtId="0" fontId="11" fillId="0" borderId="0" xfId="0" applyFont="1" applyAlignment="1">
      <alignment horizontal="left" vertical="center" wrapText="1"/>
    </xf>
    <xf numFmtId="0" fontId="1" fillId="0" borderId="0" xfId="0" applyFont="1" applyAlignment="1"/>
    <xf numFmtId="0" fontId="5" fillId="0" borderId="0" xfId="0" applyFont="1" applyAlignment="1">
      <alignment horizontal="left" vertical="center" wrapText="1"/>
    </xf>
    <xf numFmtId="0" fontId="14" fillId="0" borderId="3" xfId="0" applyFont="1" applyBorder="1" applyAlignment="1">
      <alignment horizontal="left" vertical="center" wrapText="1"/>
    </xf>
    <xf numFmtId="0" fontId="2" fillId="0" borderId="4" xfId="0" applyFont="1" applyBorder="1" applyAlignment="1"/>
    <xf numFmtId="0" fontId="2" fillId="0" borderId="5" xfId="0" applyFont="1" applyBorder="1" applyAlignment="1"/>
    <xf numFmtId="0" fontId="12" fillId="0" borderId="0" xfId="0" applyFont="1" applyAlignment="1">
      <alignment horizontal="left" vertical="center" wrapText="1"/>
    </xf>
    <xf numFmtId="0" fontId="0" fillId="0" borderId="6" xfId="0" applyBorder="1" applyAlignment="1"/>
    <xf numFmtId="0" fontId="4" fillId="0" borderId="0" xfId="0" applyFont="1" applyAlignment="1">
      <alignment horizontal="left" vertical="center" wrapText="1"/>
    </xf>
    <xf numFmtId="0" fontId="31" fillId="0" borderId="3" xfId="0" applyFont="1" applyBorder="1" applyAlignment="1">
      <alignment horizontal="left" vertical="center" wrapText="1"/>
    </xf>
    <xf numFmtId="0" fontId="32" fillId="0" borderId="4" xfId="0" applyFont="1" applyBorder="1" applyAlignment="1"/>
    <xf numFmtId="0" fontId="32" fillId="0" borderId="5" xfId="0" applyFont="1" applyBorder="1" applyAlignment="1"/>
    <xf numFmtId="0" fontId="0" fillId="0" borderId="4" xfId="0" applyBorder="1" applyAlignment="1"/>
    <xf numFmtId="14" fontId="0" fillId="0" borderId="0" xfId="0" applyNumberFormat="1"/>
  </cellXfs>
  <cellStyles count="2">
    <cellStyle name="Hyperlink" xfId="1" xr:uid="{00000000-000B-0000-0000-000008000000}"/>
    <cellStyle name="Normal" xfId="0" builtinId="0"/>
  </cellStyles>
  <dxfs count="0"/>
  <tableStyles count="0" defaultTableStyle="TableStyleMedium2" defaultPivotStyle="PivotStyleLight16"/>
  <colors>
    <mruColors>
      <color rgb="FFFEF3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Nhã Trần Thanh" id="{AC759A5E-32FB-4BC3-BA22-DC4C99D308DF}" userId="2f661437c52d8a10"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4" dT="2026-09-05T09:47:38.31" personId="{AC759A5E-32FB-4BC3-BA22-DC4C99D308DF}" id="{12B71A7F-8511-4632-9CFA-DFBAD706806D}">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2.xml><?xml version="1.0" encoding="utf-8"?>
<ThreadedComments xmlns="http://schemas.microsoft.com/office/spreadsheetml/2018/threadedcomments" xmlns:x="http://schemas.openxmlformats.org/spreadsheetml/2006/main">
  <threadedComment ref="L4" dT="2026-09-05T09:47:38.32" personId="{AC759A5E-32FB-4BC3-BA22-DC4C99D308DF}" id="{13583B79-4FAE-42C2-885B-ADCA4909E4BB}">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3.xml><?xml version="1.0" encoding="utf-8"?>
<ThreadedComments xmlns="http://schemas.microsoft.com/office/spreadsheetml/2018/threadedcomments" xmlns:x="http://schemas.openxmlformats.org/spreadsheetml/2006/main">
  <threadedComment ref="L4" dT="2026-09-05T09:47:38.32" personId="{AC759A5E-32FB-4BC3-BA22-DC4C99D308DF}" id="{4C4BCBD0-8FAF-409F-A22A-9167E8D1492C}">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4.xml><?xml version="1.0" encoding="utf-8"?>
<ThreadedComments xmlns="http://schemas.microsoft.com/office/spreadsheetml/2018/threadedcomments" xmlns:x="http://schemas.openxmlformats.org/spreadsheetml/2006/main">
  <threadedComment ref="L4" dT="2026-09-05T09:47:38.33" personId="{AC759A5E-32FB-4BC3-BA22-DC4C99D308DF}" id="{376F46FF-34DE-41AC-93DF-DB852CE29C3D}">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5.xml><?xml version="1.0" encoding="utf-8"?>
<ThreadedComments xmlns="http://schemas.microsoft.com/office/spreadsheetml/2018/threadedcomments" xmlns:x="http://schemas.openxmlformats.org/spreadsheetml/2006/main">
  <threadedComment ref="L4" dT="2026-09-05T09:47:38.33" personId="{AC759A5E-32FB-4BC3-BA22-DC4C99D308DF}" id="{04419F7D-0698-4825-B85D-F4B32283EC60}">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6.xml><?xml version="1.0" encoding="utf-8"?>
<ThreadedComments xmlns="http://schemas.microsoft.com/office/spreadsheetml/2018/threadedcomments" xmlns:x="http://schemas.openxmlformats.org/spreadsheetml/2006/main">
  <threadedComment ref="L4" dT="2026-09-05T09:47:38.33" personId="{AC759A5E-32FB-4BC3-BA22-DC4C99D308DF}" id="{BEFC3489-B158-4423-9747-641176FE564D}">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7.xml><?xml version="1.0" encoding="utf-8"?>
<ThreadedComments xmlns="http://schemas.microsoft.com/office/spreadsheetml/2018/threadedcomments" xmlns:x="http://schemas.openxmlformats.org/spreadsheetml/2006/main">
  <threadedComment ref="L4" dT="2026-09-05T09:47:38.34" personId="{AC759A5E-32FB-4BC3-BA22-DC4C99D308DF}" id="{A11CFC86-D897-4E5D-B18C-8A7C9E09A32C}">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8.xml><?xml version="1.0" encoding="utf-8"?>
<ThreadedComments xmlns="http://schemas.microsoft.com/office/spreadsheetml/2018/threadedcomments" xmlns:x="http://schemas.openxmlformats.org/spreadsheetml/2006/main">
  <threadedComment ref="L4" dT="2026-09-05T09:47:38.34" personId="{AC759A5E-32FB-4BC3-BA22-DC4C99D308DF}" id="{E459728E-2430-4312-99CC-36BC9664855C}">
    <text>Ô hỗ trợ tự động: quy đổi các lựa chọn ghép (Dự án + Đồ án / Dự án + Khóa luận) về 'Dự án CNTT' để checklist hiển thị đúng nội dung SDN/SD-WAN. Không cần chỉnh sửa ô này.</text>
  </threadedComment>
</ThreadedComments>
</file>

<file path=xl/threadedComments/threadedComment9.xml><?xml version="1.0" encoding="utf-8"?>
<ThreadedComments xmlns="http://schemas.microsoft.com/office/spreadsheetml/2018/threadedcomments" xmlns:x="http://schemas.openxmlformats.org/spreadsheetml/2006/main">
  <threadedComment ref="L4" dT="2026-09-05T09:47:38.34" personId="{AC759A5E-32FB-4BC3-BA22-DC4C99D308DF}" id="{BBFA5374-E37E-4A3C-8A11-9A3CBBBCCDD8}">
    <text>Ô hỗ trợ tự động: quy đổi các lựa chọn ghép (Dự án + Đồ án / Dự án + Khóa luận) về 'Dự án CNTT' để checklist hiển thị đúng nội dung SDN/SD-WAN. Không cần chỉnh sửa ô này.</text>
  </threadedComment>
</ThreadedComment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52300200@student.tdtu.edu.vn" TargetMode="External"/><Relationship Id="rId1" Type="http://schemas.openxmlformats.org/officeDocument/2006/relationships/hyperlink" Target="mailto:52300190@student.tdtu.edu.vn"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mailto:52300203@student.tdtu.edu.vn" TargetMode="External"/><Relationship Id="rId1" Type="http://schemas.openxmlformats.org/officeDocument/2006/relationships/hyperlink" Target="mailto:52300207@student.tdtu.edu.vn" TargetMode="Externa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mailto:52300172@student.tdtu.edu.vn" TargetMode="Externa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mailto:52300198@student.tdtu.edu.vn" TargetMode="External"/><Relationship Id="rId1" Type="http://schemas.openxmlformats.org/officeDocument/2006/relationships/hyperlink" Target="mailto:52300235@student.tdtu.edu.vn" TargetMode="External"/><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mailto:52300210@student.tdtu.edu.vn" TargetMode="Externa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hyperlink" Target="mailto:52300211@student.tdtu.edu.vn" TargetMode="External"/><Relationship Id="rId7" Type="http://schemas.microsoft.com/office/2017/10/relationships/threadedComment" Target="../threadedComments/threadedComment6.xml"/><Relationship Id="rId2" Type="http://schemas.openxmlformats.org/officeDocument/2006/relationships/hyperlink" Target="mailto:52300208@student.tdtu.edu.vn" TargetMode="External"/><Relationship Id="rId1" Type="http://schemas.openxmlformats.org/officeDocument/2006/relationships/hyperlink" Target="mailto:52300211@student.tdtu.edu.vn"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hyperlink" Target="mailto:52300208@student.tdtu.edu.vn" TargetMode="Externa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hyperlink" Target="mailto:52300180@student.tdtu.edu.vn" TargetMode="External"/><Relationship Id="rId1" Type="http://schemas.openxmlformats.org/officeDocument/2006/relationships/hyperlink" Target="mailto:52300237@student.tdtu.edu.vn" TargetMode="External"/><Relationship Id="rId5" Type="http://schemas.microsoft.com/office/2017/10/relationships/threadedComment" Target="../threadedComments/threadedComment8.xml"/><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A7" workbookViewId="0">
      <selection activeCell="P11" sqref="P11"/>
    </sheetView>
  </sheetViews>
  <sheetFormatPr defaultColWidth="14.42578125" defaultRowHeight="15" customHeight="1"/>
  <cols>
    <col min="1" max="1" width="7.28515625" customWidth="1"/>
    <col min="2" max="2" width="18" customWidth="1"/>
    <col min="3" max="3" width="63.140625" customWidth="1"/>
    <col min="4" max="4" width="26.42578125" customWidth="1"/>
    <col min="5" max="6" width="28.85546875" customWidth="1"/>
    <col min="7" max="7" width="24" customWidth="1"/>
    <col min="8" max="8" width="16.85546875" customWidth="1"/>
    <col min="9" max="9" width="12" customWidth="1"/>
    <col min="10" max="11" width="19.140625" customWidth="1"/>
    <col min="12" max="12" width="21.7109375" customWidth="1"/>
    <col min="13" max="13" width="16" customWidth="1"/>
    <col min="14" max="14" width="14.42578125" customWidth="1"/>
    <col min="15" max="15" width="15.5703125" customWidth="1"/>
    <col min="16" max="16" width="15.28515625" customWidth="1"/>
    <col min="17" max="26" width="8.7109375" customWidth="1"/>
  </cols>
  <sheetData>
    <row r="1" spans="1:16" ht="18">
      <c r="A1" s="91" t="s">
        <v>0</v>
      </c>
      <c r="B1" s="84"/>
      <c r="C1" s="84"/>
      <c r="D1" s="84"/>
      <c r="E1" s="84"/>
      <c r="F1" s="84"/>
      <c r="G1" s="84"/>
      <c r="H1" s="84"/>
      <c r="I1" s="84"/>
      <c r="J1" s="84"/>
      <c r="K1" s="84"/>
      <c r="L1" s="38"/>
    </row>
    <row r="2" spans="1:16" ht="18">
      <c r="A2" s="85" t="s">
        <v>1</v>
      </c>
      <c r="B2" s="84"/>
      <c r="C2" s="84"/>
      <c r="D2" s="84"/>
      <c r="E2" s="84"/>
      <c r="F2" s="84"/>
      <c r="G2" s="84"/>
      <c r="H2" s="84"/>
      <c r="I2" s="84"/>
      <c r="J2" s="84"/>
      <c r="K2" s="84"/>
      <c r="L2" s="38"/>
    </row>
    <row r="3" spans="1:16" ht="18">
      <c r="A3" s="38"/>
      <c r="B3" s="38"/>
      <c r="C3" s="38"/>
      <c r="D3" s="38"/>
      <c r="E3" s="38"/>
      <c r="F3" s="38"/>
      <c r="G3" s="38"/>
      <c r="H3" s="38"/>
      <c r="I3" s="38"/>
      <c r="J3" s="38"/>
      <c r="K3" s="38"/>
      <c r="L3" s="38"/>
    </row>
    <row r="4" spans="1:16" ht="38.25">
      <c r="A4" s="2" t="s">
        <v>2</v>
      </c>
      <c r="B4" s="2" t="s">
        <v>3</v>
      </c>
      <c r="C4" s="2" t="s">
        <v>4</v>
      </c>
      <c r="D4" s="2" t="s">
        <v>5</v>
      </c>
      <c r="E4" s="2" t="s">
        <v>6</v>
      </c>
      <c r="F4" s="2" t="s">
        <v>7</v>
      </c>
      <c r="G4" s="38"/>
      <c r="H4" s="38"/>
      <c r="I4" s="38"/>
      <c r="J4" s="38"/>
      <c r="K4" s="38"/>
      <c r="L4" s="38"/>
    </row>
    <row r="5" spans="1:16" ht="23.25">
      <c r="A5" s="3">
        <f>COUNTA(B8:B17)</f>
        <v>10</v>
      </c>
      <c r="B5" s="4">
        <f>COUNTIF(D8:D17, "Dự án CNTT") + COUNTIF(D8:D17, "Dự án + Đồ án") + COUNTIF(D8:D17, "Dự án + Khóa luận")</f>
        <v>5</v>
      </c>
      <c r="C5" s="5">
        <f>COUNTIF(D8:D17, "Đồ án tốt nghiệp") + COUNTIF(D8:D17, "Dự án + Đồ án")</f>
        <v>4</v>
      </c>
      <c r="D5" s="6">
        <f>COUNTIF(D8:D17, "Khóa luận tốt nghiệp") + COUNTIF(D8:D17, "Dự án + Khóa luận")</f>
        <v>2</v>
      </c>
      <c r="E5" s="7">
        <f>AVERAGE(H8:H17)</f>
        <v>0.2074074074074074</v>
      </c>
      <c r="F5" s="3">
        <f>SUM(I8:I17)</f>
        <v>64</v>
      </c>
      <c r="G5" s="38"/>
      <c r="H5" s="38"/>
      <c r="I5" s="38"/>
      <c r="J5" s="38"/>
      <c r="K5" s="38"/>
      <c r="L5" s="38"/>
    </row>
    <row r="6" spans="1:16" ht="18">
      <c r="A6" s="38"/>
      <c r="B6" s="38"/>
      <c r="C6" s="38"/>
      <c r="D6" s="38"/>
      <c r="E6" s="38"/>
      <c r="F6" s="38"/>
      <c r="G6" s="38"/>
      <c r="H6" s="38"/>
      <c r="I6" s="38"/>
      <c r="J6" s="38"/>
      <c r="K6" s="38"/>
      <c r="L6" s="38"/>
    </row>
    <row r="7" spans="1:16" ht="45.75" customHeight="1">
      <c r="A7" s="8" t="s">
        <v>8</v>
      </c>
      <c r="B7" s="8" t="s">
        <v>9</v>
      </c>
      <c r="C7" s="8" t="s">
        <v>10</v>
      </c>
      <c r="D7" s="8" t="s">
        <v>11</v>
      </c>
      <c r="E7" s="8" t="s">
        <v>12</v>
      </c>
      <c r="F7" s="8" t="s">
        <v>13</v>
      </c>
      <c r="G7" s="8" t="s">
        <v>14</v>
      </c>
      <c r="H7" s="8" t="s">
        <v>15</v>
      </c>
      <c r="I7" s="8" t="s">
        <v>16</v>
      </c>
      <c r="J7" s="8" t="s">
        <v>17</v>
      </c>
      <c r="K7" s="8" t="s">
        <v>18</v>
      </c>
      <c r="L7" s="8" t="s">
        <v>19</v>
      </c>
      <c r="M7" t="s">
        <v>20</v>
      </c>
      <c r="N7" t="s">
        <v>21</v>
      </c>
      <c r="O7" t="s">
        <v>22</v>
      </c>
      <c r="P7" s="96">
        <v>46122</v>
      </c>
    </row>
    <row r="8" spans="1:16" ht="45.75" customHeight="1">
      <c r="A8" s="9">
        <v>1</v>
      </c>
      <c r="B8" s="9" t="s">
        <v>23</v>
      </c>
      <c r="C8" s="10" t="str">
        <f>Nhom_01!C5</f>
        <v>SO SÁNH HIỆU NĂNG GIỮA WAN TRUYỀN THỐNG (MPLS) VÀ SD-WAN TRONG MẠNG DOANH NGHIỆP</v>
      </c>
      <c r="D8" s="78" t="str">
        <f>Nhom_01!C4</f>
        <v>Dự án CNTT</v>
      </c>
      <c r="E8" s="10" t="str">
        <f>Nhom_01!C6</f>
        <v>Huỳnh Văn Dũng - 52300190</v>
      </c>
      <c r="F8" s="10" t="str">
        <f>Nhom_01!G6</f>
        <v>Trần Gia hưng</v>
      </c>
      <c r="G8" s="11" t="str">
        <f>Nhom_01!G4</f>
        <v>ThS. Lê Viết Thanh</v>
      </c>
      <c r="H8" s="12">
        <f>Nhom_01!H13</f>
        <v>0.77777777777777779</v>
      </c>
      <c r="I8" s="11">
        <f>Nhom_01!B13</f>
        <v>21</v>
      </c>
      <c r="J8" s="11" t="str">
        <f>Nhom_01!G8</f>
        <v>2026-11-20</v>
      </c>
      <c r="K8" s="11" t="str">
        <f>Nhom_01!C9</f>
        <v>2026-12-04</v>
      </c>
      <c r="L8" s="9" t="str">
        <f>Nhom_01!I13</f>
        <v>ĐANG ĐÚNG HẠN</v>
      </c>
      <c r="M8" t="s">
        <v>24</v>
      </c>
      <c r="N8" t="s">
        <v>24</v>
      </c>
      <c r="O8" t="s">
        <v>24</v>
      </c>
      <c r="P8" t="s">
        <v>24</v>
      </c>
    </row>
    <row r="9" spans="1:16" ht="45.75" customHeight="1">
      <c r="A9" s="13">
        <v>2</v>
      </c>
      <c r="B9" s="13" t="s">
        <v>25</v>
      </c>
      <c r="C9" s="14" t="str">
        <f>Nhom_02!C5</f>
        <v>SO SÁNH MẠNG WAN TRUYỀN THỐNG VÀ MẠNG TÍCH HỢP SDN VÀ SD-WAN</v>
      </c>
      <c r="D9" s="78" t="str">
        <f>Nhom_02!C4</f>
        <v>Dự án CNTT</v>
      </c>
      <c r="E9" s="14" t="str">
        <f>Nhom_02!C6</f>
        <v>Đỗ Tuấn Khang - 52300207</v>
      </c>
      <c r="F9" s="14" t="str">
        <f>Nhom_02!G6</f>
        <v>Nguyễn Minh Huy - 52300203</v>
      </c>
      <c r="G9" s="15" t="str">
        <f>Nhom_02!G4</f>
        <v>ThS. Lê Viết Thanh</v>
      </c>
      <c r="H9" s="12">
        <f>Nhom_02!H13</f>
        <v>0.18518518518518517</v>
      </c>
      <c r="I9" s="15">
        <f>Nhom_02!B13</f>
        <v>5</v>
      </c>
      <c r="J9" s="15" t="str">
        <f>Nhom_02!G8</f>
        <v>2026-11-20</v>
      </c>
      <c r="K9" s="15" t="str">
        <f>Nhom_02!C9</f>
        <v>2026-12-04</v>
      </c>
      <c r="L9" s="13" t="str">
        <f>Nhom_02!I13</f>
        <v>ĐANG THỰC HIỆN</v>
      </c>
      <c r="M9" t="s">
        <v>24</v>
      </c>
      <c r="N9" t="s">
        <v>24</v>
      </c>
      <c r="O9" t="s">
        <v>24</v>
      </c>
      <c r="P9" t="s">
        <v>24</v>
      </c>
    </row>
    <row r="10" spans="1:16" ht="45.75" customHeight="1">
      <c r="A10" s="9">
        <v>3</v>
      </c>
      <c r="B10" s="9" t="s">
        <v>26</v>
      </c>
      <c r="C10" s="10" t="str">
        <f>Nhom_03!C5</f>
        <v>QUẢN LÝ MẠNG DOANH NGHIỆP TRÊN NỀN TẢNG CLOUD SỬ DỤNG SDN</v>
      </c>
      <c r="D10" s="78" t="str">
        <f>Nhom_03!C4</f>
        <v>Dự án CNTT</v>
      </c>
      <c r="E10" s="10" t="str">
        <f>Nhom_03!C6</f>
        <v>Đỗ Tài Khải Nguyên  - 52300230</v>
      </c>
      <c r="F10" s="10" t="str">
        <f>Nhom_03!G6</f>
        <v>Nguyễn Văn An - 52300172</v>
      </c>
      <c r="G10" s="11" t="str">
        <f>Nhom_03!G4</f>
        <v>ThS. Lê Viết Thanh</v>
      </c>
      <c r="H10" s="12">
        <f>Nhom_03!H13</f>
        <v>0.29629629629629628</v>
      </c>
      <c r="I10" s="11">
        <f>Nhom_03!B13</f>
        <v>8</v>
      </c>
      <c r="J10" s="11" t="str">
        <f>Nhom_03!G8</f>
        <v>2026-11-20</v>
      </c>
      <c r="K10" s="11" t="str">
        <f>Nhom_03!C9</f>
        <v>2026-12-04</v>
      </c>
      <c r="L10" s="9" t="str">
        <f>Nhom_03!I13</f>
        <v>ĐANG THỰC HIỆN</v>
      </c>
      <c r="M10" t="s">
        <v>24</v>
      </c>
      <c r="N10" t="s">
        <v>24</v>
      </c>
      <c r="O10" t="s">
        <v>24</v>
      </c>
    </row>
    <row r="11" spans="1:16" ht="45.75" customHeight="1">
      <c r="A11" s="13">
        <v>4</v>
      </c>
      <c r="B11" s="13" t="s">
        <v>27</v>
      </c>
      <c r="C11" s="14" t="str">
        <f>Nhom_04!C5</f>
        <v>Xây dựng Campus Network sử dụng SDN và SD-WAN</v>
      </c>
      <c r="D11" s="78" t="str">
        <f>Nhom_04!C4</f>
        <v>Dự án CNTT</v>
      </c>
      <c r="E11" s="14" t="str">
        <f>Nhom_04!C6</f>
        <v xml:space="preserve">Trần Hữu Nhân-52300235 </v>
      </c>
      <c r="F11" s="14" t="str">
        <f>Nhom_04!G6</f>
        <v xml:space="preserve">Nguyễn Nhật Hào- 52300198 </v>
      </c>
      <c r="G11" s="15" t="str">
        <f>Nhom_04!G4</f>
        <v>ThS. Lê Viết Thanh</v>
      </c>
      <c r="H11" s="12">
        <f>Nhom_04!H13</f>
        <v>0.29629629629629628</v>
      </c>
      <c r="I11" s="15">
        <f>Nhom_04!B13</f>
        <v>8</v>
      </c>
      <c r="J11" s="15" t="str">
        <f>Nhom_04!G8</f>
        <v>2026-11-20</v>
      </c>
      <c r="K11" s="15" t="str">
        <f>Nhom_04!C9</f>
        <v>2026-12-04</v>
      </c>
      <c r="L11" s="13" t="str">
        <f>Nhom_04!I13</f>
        <v>ĐANG THỰC HIỆN</v>
      </c>
      <c r="M11" t="s">
        <v>24</v>
      </c>
      <c r="N11" t="s">
        <v>24</v>
      </c>
      <c r="O11" t="s">
        <v>24</v>
      </c>
      <c r="P11" t="s">
        <v>24</v>
      </c>
    </row>
    <row r="12" spans="1:16" ht="45.75" customHeight="1">
      <c r="A12" s="9">
        <v>5</v>
      </c>
      <c r="B12" s="9" t="s">
        <v>28</v>
      </c>
      <c r="C12" s="10" t="str">
        <f>Nhom_05!C5</f>
        <v>Tự động hóa mạng doanh nghiệp dựa trên Intent cho
LAN, VLAN và SD-WAN sử dụng trí tuệ nhân tạo</v>
      </c>
      <c r="D12" s="79" t="str">
        <f>Nhom_05!C4</f>
        <v>Đồ án tốt nghiệp</v>
      </c>
      <c r="E12" s="10" t="str">
        <f>Nhom_05!C6</f>
        <v>Nguyễn Đăng Khoa - 52300210</v>
      </c>
      <c r="F12" s="10" t="str">
        <f>Nhom_05!G6</f>
        <v>[Họ tên SV 2 - MSSV]</v>
      </c>
      <c r="G12" s="11" t="str">
        <f>Nhom_05!G4</f>
        <v>ThS. Lê Viết Thanh</v>
      </c>
      <c r="H12" s="12">
        <f>Nhom_05!H13</f>
        <v>0.1111111111111111</v>
      </c>
      <c r="I12" s="11">
        <f>Nhom_05!B13</f>
        <v>3</v>
      </c>
      <c r="J12" s="11" t="str">
        <f>Nhom_05!G8</f>
        <v>2026-12-10</v>
      </c>
      <c r="K12" s="11" t="str">
        <f>Nhom_05!C9</f>
        <v>2026-12-27</v>
      </c>
      <c r="L12" s="9" t="str">
        <f>Nhom_05!I13</f>
        <v>ĐANG THỰC HIỆN</v>
      </c>
      <c r="M12" t="s">
        <v>24</v>
      </c>
      <c r="N12" t="s">
        <v>24</v>
      </c>
      <c r="O12" t="s">
        <v>24</v>
      </c>
      <c r="P12" t="s">
        <v>24</v>
      </c>
    </row>
    <row r="13" spans="1:16" ht="45.75" hidden="1" customHeight="1">
      <c r="A13" s="13">
        <v>6</v>
      </c>
      <c r="B13" s="13" t="s">
        <v>29</v>
      </c>
      <c r="C13" s="14" t="str">
        <f>Nhom_06!C5</f>
        <v>[Nhóm 06 - Điền tên đề tài tại đây]</v>
      </c>
      <c r="D13" s="13" t="str">
        <f>Nhom_06!C4</f>
        <v>Đồ án tốt nghiệp</v>
      </c>
      <c r="E13" s="14" t="str">
        <f>Nhom_06!C6</f>
        <v>[Họ tên SV 1 - MSSV]</v>
      </c>
      <c r="F13" s="14" t="str">
        <f>Nhom_06!G6</f>
        <v>[Họ tên SV 2 - MSSV]</v>
      </c>
      <c r="G13" s="15" t="str">
        <f>Nhom_06!G4</f>
        <v>ThS. Lê Viết Thanh</v>
      </c>
      <c r="H13" s="12">
        <f>Nhom_06!H13</f>
        <v>0</v>
      </c>
      <c r="I13" s="15">
        <f>Nhom_06!B13</f>
        <v>0</v>
      </c>
      <c r="J13" s="15" t="str">
        <f>Nhom_06!G8</f>
        <v>2026-12-10</v>
      </c>
      <c r="K13" s="15" t="str">
        <f>Nhom_06!C9</f>
        <v>2026-12-27</v>
      </c>
      <c r="L13" s="13" t="str">
        <f>Nhom_06!I13</f>
        <v>ĐANG THỰC HIỆN</v>
      </c>
    </row>
    <row r="14" spans="1:16" ht="45.75" customHeight="1">
      <c r="A14" s="9">
        <v>7</v>
      </c>
      <c r="B14" s="9" t="s">
        <v>30</v>
      </c>
      <c r="C14" s="10" t="str">
        <f>Nhom_07!C11</f>
        <v>Tự động hóa cấu hình VLAN và SD-WAN theo mô hình Intent sử dụng AI, Python và SDN</v>
      </c>
      <c r="D14" s="78" t="str">
        <f>Nhom_07!C4</f>
        <v>Dự án + Đồ án</v>
      </c>
      <c r="E14" s="10" t="str">
        <f>Nhom_07!C6</f>
        <v>Võ Anh Khoa - 52300211</v>
      </c>
      <c r="F14" s="10" t="str">
        <f>Nhom_07!G6</f>
        <v>Đặng Ngọc Kim Khánh - 52300208</v>
      </c>
      <c r="G14" s="11" t="str">
        <f>Nhom_07!G4</f>
        <v>ThS. Lê Viết Thanh</v>
      </c>
      <c r="H14" s="12">
        <f>Nhom_07!H18</f>
        <v>0.29629629629629628</v>
      </c>
      <c r="I14" s="11">
        <f>Nhom_07!B18</f>
        <v>16</v>
      </c>
      <c r="J14" s="11" t="str">
        <f>Nhom_07!G8</f>
        <v>2026-11-20</v>
      </c>
      <c r="K14" s="11" t="str">
        <f>Nhom_07!C9</f>
        <v>2026-12-04</v>
      </c>
      <c r="L14" s="9" t="str">
        <f>Nhom_07!I18</f>
        <v>ĐANG THỰC HIỆN</v>
      </c>
      <c r="M14" t="s">
        <v>24</v>
      </c>
      <c r="N14" t="s">
        <v>31</v>
      </c>
      <c r="O14" t="s">
        <v>24</v>
      </c>
    </row>
    <row r="15" spans="1:16" ht="45.75" hidden="1" customHeight="1">
      <c r="A15" s="13">
        <v>8</v>
      </c>
      <c r="B15" s="13" t="s">
        <v>32</v>
      </c>
      <c r="C15" s="14" t="str">
        <f>Nhom_08!C5</f>
        <v>[Nhóm 08 - Điền tên đề tài tại đây]</v>
      </c>
      <c r="D15" s="13" t="str">
        <f>Nhom_08!C4</f>
        <v>Khóa luận tốt nghiệp</v>
      </c>
      <c r="E15" s="14" t="str">
        <f>Nhom_08!C6</f>
        <v>[Họ tên SV 1 - MSSV]</v>
      </c>
      <c r="F15" s="14" t="str">
        <f>Nhom_08!G6</f>
        <v>[Họ tên SV 2 - MSSV]</v>
      </c>
      <c r="G15" s="15" t="str">
        <f>Nhom_08!G4</f>
        <v>ThS. Lê Viết Thanh</v>
      </c>
      <c r="H15" s="12">
        <f>Nhom_08!H13</f>
        <v>0</v>
      </c>
      <c r="I15" s="15">
        <f>Nhom_08!B13</f>
        <v>0</v>
      </c>
      <c r="J15" s="15" t="str">
        <f>Nhom_08!G8</f>
        <v>2027-01-05</v>
      </c>
      <c r="K15" s="15" t="str">
        <f>Nhom_08!C9</f>
        <v>2027-01-25</v>
      </c>
      <c r="L15" s="13" t="str">
        <f>Nhom_08!I13</f>
        <v>ĐANG THỰC HIỆN</v>
      </c>
    </row>
    <row r="16" spans="1:16" ht="45.75" customHeight="1">
      <c r="A16" s="9">
        <v>9</v>
      </c>
      <c r="B16" s="9" t="s">
        <v>33</v>
      </c>
      <c r="C16" s="10" t="str">
        <f>Nhom_09!C5</f>
        <v>Mạng doanh nghiệp tự phục hồi sử dụng SD-WAN và cơ chế khôi phục sự cố thông minh</v>
      </c>
      <c r="D16" s="79" t="str">
        <f>Nhom_09!C4</f>
        <v>Khóa luận tốt nghiệp</v>
      </c>
      <c r="E16" s="10" t="str">
        <f>Nhom_09!C6</f>
        <v>Đặng Hoàng Phú - 52300237</v>
      </c>
      <c r="F16" s="10" t="str">
        <f>Nhom_09!G6</f>
        <v>Tiêu Thế Bảo - 52300180</v>
      </c>
      <c r="G16" s="11" t="str">
        <f>Nhom_09!G4</f>
        <v>ThS. Lê Viết Thanh</v>
      </c>
      <c r="H16" s="12">
        <f>Nhom_09!H13</f>
        <v>0.1111111111111111</v>
      </c>
      <c r="I16" s="11">
        <f>Nhom_09!B13</f>
        <v>3</v>
      </c>
      <c r="J16" s="11" t="str">
        <f>Nhom_09!G8</f>
        <v>2027-01-05</v>
      </c>
      <c r="K16" s="11" t="str">
        <f>Nhom_09!C9</f>
        <v>2027-01-25</v>
      </c>
      <c r="L16" s="9" t="str">
        <f>Nhom_09!I13</f>
        <v>ĐANG THỰC HIỆN</v>
      </c>
      <c r="M16" t="s">
        <v>24</v>
      </c>
      <c r="N16" t="s">
        <v>24</v>
      </c>
      <c r="O16" t="s">
        <v>24</v>
      </c>
    </row>
    <row r="17" spans="1:12" ht="45.75" hidden="1" customHeight="1">
      <c r="A17" s="13">
        <v>10</v>
      </c>
      <c r="B17" s="13" t="s">
        <v>34</v>
      </c>
      <c r="C17" s="14" t="str">
        <f>Nhom_10!C5</f>
        <v>[Nhóm 10 - Điền tên đề tài tại đây]</v>
      </c>
      <c r="D17" s="13" t="str">
        <f>Nhom_10!C4</f>
        <v>Đồ án tốt nghiệp</v>
      </c>
      <c r="E17" s="14" t="str">
        <f>Nhom_10!C6</f>
        <v>[Họ tên SV 1 - MSSV]</v>
      </c>
      <c r="F17" s="14" t="str">
        <f>Nhom_10!G6</f>
        <v>[Họ tên SV 2 - MSSV]</v>
      </c>
      <c r="G17" s="15" t="str">
        <f>Nhom_10!G4</f>
        <v>ThS. Lê Viết Thanh</v>
      </c>
      <c r="H17" s="12">
        <f>Nhom_10!H13</f>
        <v>0</v>
      </c>
      <c r="I17" s="15">
        <f>Nhom_10!B13</f>
        <v>0</v>
      </c>
      <c r="J17" s="15" t="str">
        <f>Nhom_10!G8</f>
        <v>2026-12-10</v>
      </c>
      <c r="K17" s="15" t="str">
        <f>Nhom_10!C9</f>
        <v>2026-12-27</v>
      </c>
      <c r="L17" s="13" t="str">
        <f>Nhom_10!I13</f>
        <v>ĐANG THỰC HIỆN</v>
      </c>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giJFh+B1FEgoOTCuqXW/uovN6EDkjoAl/SN4CF3FoHYw3bZOzbb/Kp2INy6mi9mIB4/3HTwciuSnP/xubm2BkA==" saltValue="FmGXyEPgnArVOG3CmNjWJw==" spinCount="100000" sheet="1" objects="1" scenarios="1"/>
  <mergeCells count="2">
    <mergeCell ref="A1:K1"/>
    <mergeCell ref="A2:K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A4" workbookViewId="0">
      <selection activeCell="D44" sqref="D44"/>
    </sheetView>
  </sheetViews>
  <sheetFormatPr defaultColWidth="14.42578125" defaultRowHeight="15" customHeight="1"/>
  <cols>
    <col min="1" max="1" width="26.42578125" customWidth="1"/>
    <col min="2" max="2" width="24" customWidth="1"/>
    <col min="3" max="3" width="7.28515625" customWidth="1"/>
    <col min="4" max="4" width="33.5703125" customWidth="1"/>
    <col min="5" max="5" width="42" customWidth="1"/>
    <col min="6" max="6" width="66" customWidth="1"/>
    <col min="7" max="8" width="15.7109375" customWidth="1"/>
    <col min="9" max="9" width="45.7109375" customWidth="1"/>
    <col min="10" max="10" width="21.7109375" customWidth="1"/>
    <col min="11" max="26" width="8.7109375" customWidth="1"/>
  </cols>
  <sheetData>
    <row r="1" spans="1:10" ht="18">
      <c r="A1" s="83" t="s">
        <v>35</v>
      </c>
      <c r="B1" s="84"/>
      <c r="C1" s="84"/>
      <c r="D1" s="84"/>
      <c r="E1" s="84"/>
      <c r="F1" s="84"/>
      <c r="G1" s="84"/>
      <c r="H1" s="84"/>
      <c r="I1" s="84"/>
      <c r="J1" s="84"/>
    </row>
    <row r="2" spans="1:10" ht="18">
      <c r="A2" s="85" t="s">
        <v>36</v>
      </c>
      <c r="B2" s="84"/>
      <c r="C2" s="84"/>
      <c r="D2" s="84"/>
      <c r="E2" s="84"/>
      <c r="F2" s="84"/>
      <c r="G2" s="84"/>
      <c r="H2" s="84"/>
      <c r="I2" s="84"/>
      <c r="J2" s="84"/>
    </row>
    <row r="3" spans="1:10" ht="18">
      <c r="A3" s="38"/>
      <c r="B3" s="38"/>
      <c r="C3" s="38"/>
      <c r="D3" s="38"/>
      <c r="E3" s="38"/>
      <c r="F3" s="38"/>
      <c r="G3" s="38"/>
      <c r="H3" s="38"/>
      <c r="I3" s="38"/>
      <c r="J3" s="38"/>
    </row>
    <row r="4" spans="1:10" ht="57">
      <c r="A4" s="8" t="s">
        <v>37</v>
      </c>
      <c r="B4" s="8" t="s">
        <v>38</v>
      </c>
      <c r="C4" s="8" t="s">
        <v>39</v>
      </c>
      <c r="D4" s="8" t="s">
        <v>40</v>
      </c>
      <c r="E4" s="8" t="s">
        <v>41</v>
      </c>
      <c r="F4" s="8" t="s">
        <v>42</v>
      </c>
      <c r="G4" s="8" t="s">
        <v>43</v>
      </c>
      <c r="H4" s="8" t="s">
        <v>44</v>
      </c>
      <c r="I4" s="38"/>
      <c r="J4" s="38"/>
    </row>
    <row r="5" spans="1:10" ht="57">
      <c r="A5" s="16" t="s">
        <v>45</v>
      </c>
      <c r="B5" s="15" t="s">
        <v>46</v>
      </c>
      <c r="C5" s="14" t="s">
        <v>47</v>
      </c>
      <c r="D5" s="15" t="s">
        <v>48</v>
      </c>
      <c r="E5" s="15" t="s">
        <v>49</v>
      </c>
      <c r="F5" s="14" t="s">
        <v>50</v>
      </c>
      <c r="G5" s="14" t="s">
        <v>51</v>
      </c>
      <c r="H5" s="14" t="s">
        <v>52</v>
      </c>
      <c r="I5" s="38"/>
      <c r="J5" s="38"/>
    </row>
    <row r="6" spans="1:10" ht="57">
      <c r="A6" s="17" t="s">
        <v>53</v>
      </c>
      <c r="B6" s="11" t="s">
        <v>46</v>
      </c>
      <c r="C6" s="10" t="s">
        <v>47</v>
      </c>
      <c r="D6" s="11" t="s">
        <v>54</v>
      </c>
      <c r="E6" s="11" t="s">
        <v>55</v>
      </c>
      <c r="F6" s="10" t="s">
        <v>56</v>
      </c>
      <c r="G6" s="10" t="s">
        <v>57</v>
      </c>
      <c r="H6" s="10" t="s">
        <v>58</v>
      </c>
      <c r="I6" s="38"/>
      <c r="J6" s="38"/>
    </row>
    <row r="7" spans="1:10" ht="57">
      <c r="A7" s="16" t="s">
        <v>59</v>
      </c>
      <c r="B7" s="15" t="s">
        <v>60</v>
      </c>
      <c r="C7" s="14" t="s">
        <v>61</v>
      </c>
      <c r="D7" s="15" t="s">
        <v>62</v>
      </c>
      <c r="E7" s="15" t="s">
        <v>63</v>
      </c>
      <c r="F7" s="14" t="s">
        <v>64</v>
      </c>
      <c r="G7" s="14" t="s">
        <v>65</v>
      </c>
      <c r="H7" s="14" t="s">
        <v>66</v>
      </c>
      <c r="I7" s="38"/>
      <c r="J7" s="38"/>
    </row>
    <row r="8" spans="1:10" ht="18">
      <c r="A8" s="38"/>
      <c r="B8" s="38"/>
      <c r="C8" s="38"/>
      <c r="D8" s="38"/>
      <c r="E8" s="38"/>
      <c r="F8" s="38"/>
      <c r="G8" s="38"/>
      <c r="H8" s="38"/>
      <c r="I8" s="38"/>
      <c r="J8" s="38"/>
    </row>
    <row r="9" spans="1:10" ht="18">
      <c r="A9" s="18" t="s">
        <v>67</v>
      </c>
      <c r="B9" s="38"/>
      <c r="C9" s="38"/>
      <c r="D9" s="38"/>
      <c r="E9" s="38"/>
      <c r="F9" s="38"/>
      <c r="G9" s="38"/>
      <c r="H9" s="38"/>
      <c r="I9" s="38"/>
      <c r="J9" s="38"/>
    </row>
    <row r="10" spans="1:10">
      <c r="A10" s="8" t="s">
        <v>68</v>
      </c>
      <c r="B10" s="8" t="s">
        <v>69</v>
      </c>
      <c r="C10" s="8" t="s">
        <v>8</v>
      </c>
      <c r="D10" s="8" t="s">
        <v>70</v>
      </c>
      <c r="E10" s="8" t="s">
        <v>71</v>
      </c>
      <c r="F10" s="8" t="s">
        <v>72</v>
      </c>
      <c r="G10" s="8" t="s">
        <v>73</v>
      </c>
      <c r="H10" s="8" t="s">
        <v>74</v>
      </c>
      <c r="I10" s="8" t="s">
        <v>75</v>
      </c>
      <c r="J10" s="8" t="s">
        <v>76</v>
      </c>
    </row>
    <row r="11" spans="1:10" ht="28.5">
      <c r="A11" s="13" t="s">
        <v>77</v>
      </c>
      <c r="B11" s="15" t="s">
        <v>45</v>
      </c>
      <c r="C11" s="13">
        <v>1</v>
      </c>
      <c r="D11" s="14" t="s">
        <v>78</v>
      </c>
      <c r="E11" s="14" t="s">
        <v>79</v>
      </c>
      <c r="F11" s="32" t="s">
        <v>80</v>
      </c>
      <c r="G11" s="15" t="s">
        <v>46</v>
      </c>
      <c r="H11" s="15" t="s">
        <v>81</v>
      </c>
      <c r="I11" s="14" t="s">
        <v>82</v>
      </c>
      <c r="J11" s="15"/>
    </row>
    <row r="12" spans="1:10" ht="28.5">
      <c r="A12" s="9" t="s">
        <v>83</v>
      </c>
      <c r="B12" s="11" t="s">
        <v>45</v>
      </c>
      <c r="C12" s="9">
        <v>2</v>
      </c>
      <c r="D12" s="10" t="s">
        <v>78</v>
      </c>
      <c r="E12" s="10" t="s">
        <v>84</v>
      </c>
      <c r="F12" s="33" t="s">
        <v>85</v>
      </c>
      <c r="G12" s="11" t="s">
        <v>46</v>
      </c>
      <c r="H12" s="11" t="s">
        <v>86</v>
      </c>
      <c r="I12" s="10" t="s">
        <v>87</v>
      </c>
      <c r="J12" s="11"/>
    </row>
    <row r="13" spans="1:10" ht="28.5">
      <c r="A13" s="13" t="s">
        <v>88</v>
      </c>
      <c r="B13" s="15" t="s">
        <v>45</v>
      </c>
      <c r="C13" s="13">
        <v>3</v>
      </c>
      <c r="D13" s="14" t="s">
        <v>78</v>
      </c>
      <c r="E13" s="14" t="s">
        <v>89</v>
      </c>
      <c r="F13" s="32" t="s">
        <v>90</v>
      </c>
      <c r="G13" s="15" t="s">
        <v>81</v>
      </c>
      <c r="H13" s="15" t="s">
        <v>91</v>
      </c>
      <c r="I13" s="14" t="s">
        <v>92</v>
      </c>
      <c r="J13" s="15"/>
    </row>
    <row r="14" spans="1:10" ht="28.5">
      <c r="A14" s="9" t="s">
        <v>93</v>
      </c>
      <c r="B14" s="11" t="s">
        <v>45</v>
      </c>
      <c r="C14" s="9">
        <v>4</v>
      </c>
      <c r="D14" s="10" t="s">
        <v>78</v>
      </c>
      <c r="E14" s="10" t="s">
        <v>94</v>
      </c>
      <c r="F14" s="33" t="s">
        <v>95</v>
      </c>
      <c r="G14" s="11" t="s">
        <v>96</v>
      </c>
      <c r="H14" s="11" t="s">
        <v>91</v>
      </c>
      <c r="I14" s="10" t="s">
        <v>97</v>
      </c>
      <c r="J14" s="11"/>
    </row>
    <row r="15" spans="1:10" ht="28.5">
      <c r="A15" s="13" t="s">
        <v>98</v>
      </c>
      <c r="B15" s="15" t="s">
        <v>45</v>
      </c>
      <c r="C15" s="13">
        <v>5</v>
      </c>
      <c r="D15" s="14" t="s">
        <v>99</v>
      </c>
      <c r="E15" s="14" t="s">
        <v>100</v>
      </c>
      <c r="F15" s="32" t="s">
        <v>101</v>
      </c>
      <c r="G15" s="15" t="s">
        <v>102</v>
      </c>
      <c r="H15" s="15" t="s">
        <v>103</v>
      </c>
      <c r="I15" s="14" t="s">
        <v>104</v>
      </c>
      <c r="J15" s="15"/>
    </row>
    <row r="16" spans="1:10" ht="28.5">
      <c r="A16" s="9" t="s">
        <v>105</v>
      </c>
      <c r="B16" s="11" t="s">
        <v>45</v>
      </c>
      <c r="C16" s="9">
        <v>6</v>
      </c>
      <c r="D16" s="10" t="s">
        <v>99</v>
      </c>
      <c r="E16" s="10" t="s">
        <v>106</v>
      </c>
      <c r="F16" s="33" t="s">
        <v>107</v>
      </c>
      <c r="G16" s="11" t="s">
        <v>102</v>
      </c>
      <c r="H16" s="11" t="s">
        <v>103</v>
      </c>
      <c r="I16" s="10" t="s">
        <v>108</v>
      </c>
      <c r="J16" s="11"/>
    </row>
    <row r="17" spans="1:10" ht="28.5">
      <c r="A17" s="13" t="s">
        <v>109</v>
      </c>
      <c r="B17" s="15" t="s">
        <v>45</v>
      </c>
      <c r="C17" s="13">
        <v>7</v>
      </c>
      <c r="D17" s="14" t="s">
        <v>99</v>
      </c>
      <c r="E17" s="14" t="s">
        <v>110</v>
      </c>
      <c r="F17" s="32" t="s">
        <v>111</v>
      </c>
      <c r="G17" s="15" t="s">
        <v>112</v>
      </c>
      <c r="H17" s="15" t="s">
        <v>113</v>
      </c>
      <c r="I17" s="14" t="s">
        <v>114</v>
      </c>
      <c r="J17" s="15"/>
    </row>
    <row r="18" spans="1:10" ht="28.5">
      <c r="A18" s="9" t="s">
        <v>115</v>
      </c>
      <c r="B18" s="11" t="s">
        <v>45</v>
      </c>
      <c r="C18" s="9">
        <v>8</v>
      </c>
      <c r="D18" s="10" t="s">
        <v>99</v>
      </c>
      <c r="E18" s="10" t="s">
        <v>116</v>
      </c>
      <c r="F18" s="33" t="s">
        <v>117</v>
      </c>
      <c r="G18" s="11" t="s">
        <v>112</v>
      </c>
      <c r="H18" s="11" t="s">
        <v>113</v>
      </c>
      <c r="I18" s="10" t="s">
        <v>118</v>
      </c>
      <c r="J18" s="11"/>
    </row>
    <row r="19" spans="1:10" ht="28.5">
      <c r="A19" s="13" t="s">
        <v>119</v>
      </c>
      <c r="B19" s="15" t="s">
        <v>45</v>
      </c>
      <c r="C19" s="13">
        <v>9</v>
      </c>
      <c r="D19" s="14" t="s">
        <v>120</v>
      </c>
      <c r="E19" s="14" t="s">
        <v>121</v>
      </c>
      <c r="F19" s="32" t="s">
        <v>122</v>
      </c>
      <c r="G19" s="15" t="s">
        <v>123</v>
      </c>
      <c r="H19" s="15" t="s">
        <v>124</v>
      </c>
      <c r="I19" s="14" t="s">
        <v>125</v>
      </c>
      <c r="J19" s="15"/>
    </row>
    <row r="20" spans="1:10">
      <c r="A20" s="19" t="s">
        <v>126</v>
      </c>
      <c r="B20" s="20" t="s">
        <v>45</v>
      </c>
      <c r="C20" s="19">
        <v>10</v>
      </c>
      <c r="D20" s="21" t="s">
        <v>120</v>
      </c>
      <c r="E20" s="21" t="s">
        <v>127</v>
      </c>
      <c r="F20" s="34" t="s">
        <v>128</v>
      </c>
      <c r="G20" s="20" t="s">
        <v>123</v>
      </c>
      <c r="H20" s="20" t="s">
        <v>129</v>
      </c>
      <c r="I20" s="21" t="s">
        <v>130</v>
      </c>
      <c r="J20" s="20" t="s">
        <v>131</v>
      </c>
    </row>
    <row r="21" spans="1:10" ht="28.5">
      <c r="A21" s="13" t="s">
        <v>132</v>
      </c>
      <c r="B21" s="15" t="s">
        <v>45</v>
      </c>
      <c r="C21" s="13">
        <v>11</v>
      </c>
      <c r="D21" s="14" t="s">
        <v>120</v>
      </c>
      <c r="E21" s="14" t="s">
        <v>133</v>
      </c>
      <c r="F21" s="32" t="s">
        <v>134</v>
      </c>
      <c r="G21" s="15" t="s">
        <v>135</v>
      </c>
      <c r="H21" s="15" t="s">
        <v>136</v>
      </c>
      <c r="I21" s="14" t="s">
        <v>137</v>
      </c>
      <c r="J21" s="15"/>
    </row>
    <row r="22" spans="1:10" ht="28.5">
      <c r="A22" s="9" t="s">
        <v>138</v>
      </c>
      <c r="B22" s="11" t="s">
        <v>45</v>
      </c>
      <c r="C22" s="9">
        <v>12</v>
      </c>
      <c r="D22" s="10" t="s">
        <v>120</v>
      </c>
      <c r="E22" s="10" t="s">
        <v>139</v>
      </c>
      <c r="F22" s="33" t="s">
        <v>140</v>
      </c>
      <c r="G22" s="11" t="s">
        <v>141</v>
      </c>
      <c r="H22" s="11" t="s">
        <v>142</v>
      </c>
      <c r="I22" s="10" t="s">
        <v>143</v>
      </c>
      <c r="J22" s="11"/>
    </row>
    <row r="23" spans="1:10" ht="28.5">
      <c r="A23" s="13" t="s">
        <v>144</v>
      </c>
      <c r="B23" s="15" t="s">
        <v>45</v>
      </c>
      <c r="C23" s="13">
        <v>13</v>
      </c>
      <c r="D23" s="14" t="s">
        <v>120</v>
      </c>
      <c r="E23" s="14" t="s">
        <v>145</v>
      </c>
      <c r="F23" s="32" t="s">
        <v>146</v>
      </c>
      <c r="G23" s="15" t="s">
        <v>123</v>
      </c>
      <c r="H23" s="15" t="s">
        <v>147</v>
      </c>
      <c r="I23" s="14" t="s">
        <v>148</v>
      </c>
      <c r="J23" s="15"/>
    </row>
    <row r="24" spans="1:10" ht="28.5">
      <c r="A24" s="9" t="s">
        <v>149</v>
      </c>
      <c r="B24" s="11" t="s">
        <v>45</v>
      </c>
      <c r="C24" s="9">
        <v>14</v>
      </c>
      <c r="D24" s="10" t="s">
        <v>150</v>
      </c>
      <c r="E24" s="10" t="s">
        <v>151</v>
      </c>
      <c r="F24" s="33" t="s">
        <v>152</v>
      </c>
      <c r="G24" s="11" t="s">
        <v>153</v>
      </c>
      <c r="H24" s="11" t="s">
        <v>154</v>
      </c>
      <c r="I24" s="10" t="s">
        <v>155</v>
      </c>
      <c r="J24" s="11"/>
    </row>
    <row r="25" spans="1:10" ht="28.5">
      <c r="A25" s="13" t="s">
        <v>156</v>
      </c>
      <c r="B25" s="15" t="s">
        <v>45</v>
      </c>
      <c r="C25" s="13">
        <v>15</v>
      </c>
      <c r="D25" s="14" t="s">
        <v>150</v>
      </c>
      <c r="E25" s="14" t="s">
        <v>157</v>
      </c>
      <c r="F25" s="32" t="s">
        <v>158</v>
      </c>
      <c r="G25" s="15" t="s">
        <v>159</v>
      </c>
      <c r="H25" s="15" t="s">
        <v>160</v>
      </c>
      <c r="I25" s="14" t="s">
        <v>161</v>
      </c>
      <c r="J25" s="15"/>
    </row>
    <row r="26" spans="1:10" ht="28.5">
      <c r="A26" s="9" t="s">
        <v>162</v>
      </c>
      <c r="B26" s="11" t="s">
        <v>45</v>
      </c>
      <c r="C26" s="9">
        <v>16</v>
      </c>
      <c r="D26" s="10" t="s">
        <v>150</v>
      </c>
      <c r="E26" s="10" t="s">
        <v>163</v>
      </c>
      <c r="F26" s="33" t="s">
        <v>164</v>
      </c>
      <c r="G26" s="11" t="s">
        <v>165</v>
      </c>
      <c r="H26" s="11" t="s">
        <v>166</v>
      </c>
      <c r="I26" s="10" t="s">
        <v>167</v>
      </c>
      <c r="J26" s="11"/>
    </row>
    <row r="27" spans="1:10">
      <c r="A27" s="13" t="s">
        <v>168</v>
      </c>
      <c r="B27" s="15" t="s">
        <v>45</v>
      </c>
      <c r="C27" s="13">
        <v>17</v>
      </c>
      <c r="D27" s="14" t="s">
        <v>150</v>
      </c>
      <c r="E27" s="14" t="s">
        <v>169</v>
      </c>
      <c r="F27" s="32" t="s">
        <v>170</v>
      </c>
      <c r="G27" s="15" t="s">
        <v>171</v>
      </c>
      <c r="H27" s="15" t="s">
        <v>172</v>
      </c>
      <c r="I27" s="14" t="s">
        <v>173</v>
      </c>
      <c r="J27" s="15"/>
    </row>
    <row r="28" spans="1:10" ht="28.5">
      <c r="A28" s="9" t="s">
        <v>174</v>
      </c>
      <c r="B28" s="11" t="s">
        <v>45</v>
      </c>
      <c r="C28" s="9">
        <v>18</v>
      </c>
      <c r="D28" s="10" t="s">
        <v>175</v>
      </c>
      <c r="E28" s="10" t="s">
        <v>176</v>
      </c>
      <c r="F28" s="33" t="s">
        <v>177</v>
      </c>
      <c r="G28" s="11" t="s">
        <v>153</v>
      </c>
      <c r="H28" s="11" t="s">
        <v>160</v>
      </c>
      <c r="I28" s="10" t="s">
        <v>178</v>
      </c>
      <c r="J28" s="11"/>
    </row>
    <row r="29" spans="1:10" ht="28.5">
      <c r="A29" s="13" t="s">
        <v>179</v>
      </c>
      <c r="B29" s="15" t="s">
        <v>45</v>
      </c>
      <c r="C29" s="13">
        <v>19</v>
      </c>
      <c r="D29" s="14" t="s">
        <v>175</v>
      </c>
      <c r="E29" s="14" t="s">
        <v>180</v>
      </c>
      <c r="F29" s="32" t="s">
        <v>181</v>
      </c>
      <c r="G29" s="15" t="s">
        <v>165</v>
      </c>
      <c r="H29" s="15" t="s">
        <v>172</v>
      </c>
      <c r="I29" s="14" t="s">
        <v>182</v>
      </c>
      <c r="J29" s="15"/>
    </row>
    <row r="30" spans="1:10">
      <c r="A30" s="9" t="s">
        <v>183</v>
      </c>
      <c r="B30" s="11" t="s">
        <v>45</v>
      </c>
      <c r="C30" s="9">
        <v>20</v>
      </c>
      <c r="D30" s="10" t="s">
        <v>175</v>
      </c>
      <c r="E30" s="10" t="s">
        <v>184</v>
      </c>
      <c r="F30" s="33" t="s">
        <v>185</v>
      </c>
      <c r="G30" s="11" t="s">
        <v>186</v>
      </c>
      <c r="H30" s="11" t="s">
        <v>48</v>
      </c>
      <c r="I30" s="10" t="s">
        <v>187</v>
      </c>
      <c r="J30" s="11"/>
    </row>
    <row r="31" spans="1:10" ht="28.5">
      <c r="A31" s="13" t="s">
        <v>188</v>
      </c>
      <c r="B31" s="15" t="s">
        <v>45</v>
      </c>
      <c r="C31" s="13">
        <v>21</v>
      </c>
      <c r="D31" s="14" t="s">
        <v>175</v>
      </c>
      <c r="E31" s="14" t="s">
        <v>189</v>
      </c>
      <c r="F31" s="32" t="s">
        <v>190</v>
      </c>
      <c r="G31" s="15" t="s">
        <v>172</v>
      </c>
      <c r="H31" s="15" t="s">
        <v>48</v>
      </c>
      <c r="I31" s="14" t="s">
        <v>191</v>
      </c>
      <c r="J31" s="15"/>
    </row>
    <row r="32" spans="1:10">
      <c r="A32" s="19" t="s">
        <v>192</v>
      </c>
      <c r="B32" s="20" t="s">
        <v>45</v>
      </c>
      <c r="C32" s="19">
        <v>22</v>
      </c>
      <c r="D32" s="21" t="s">
        <v>175</v>
      </c>
      <c r="E32" s="21" t="s">
        <v>193</v>
      </c>
      <c r="F32" s="34" t="s">
        <v>194</v>
      </c>
      <c r="G32" s="20" t="s">
        <v>48</v>
      </c>
      <c r="H32" s="20" t="s">
        <v>48</v>
      </c>
      <c r="I32" s="21" t="s">
        <v>195</v>
      </c>
      <c r="J32" s="20" t="s">
        <v>40</v>
      </c>
    </row>
    <row r="33" spans="1:10" ht="28.5">
      <c r="A33" s="19" t="s">
        <v>196</v>
      </c>
      <c r="B33" s="20" t="s">
        <v>45</v>
      </c>
      <c r="C33" s="19">
        <v>23</v>
      </c>
      <c r="D33" s="21" t="s">
        <v>197</v>
      </c>
      <c r="E33" s="21" t="s">
        <v>198</v>
      </c>
      <c r="F33" s="34" t="s">
        <v>199</v>
      </c>
      <c r="G33" s="20" t="s">
        <v>200</v>
      </c>
      <c r="H33" s="20" t="s">
        <v>49</v>
      </c>
      <c r="I33" s="21" t="s">
        <v>201</v>
      </c>
      <c r="J33" s="20" t="s">
        <v>202</v>
      </c>
    </row>
    <row r="34" spans="1:10" ht="28.5">
      <c r="A34" s="9" t="s">
        <v>203</v>
      </c>
      <c r="B34" s="11" t="s">
        <v>45</v>
      </c>
      <c r="C34" s="9">
        <v>24</v>
      </c>
      <c r="D34" s="10" t="s">
        <v>197</v>
      </c>
      <c r="E34" s="10" t="s">
        <v>204</v>
      </c>
      <c r="F34" s="33" t="s">
        <v>205</v>
      </c>
      <c r="G34" s="11" t="s">
        <v>206</v>
      </c>
      <c r="H34" s="11" t="s">
        <v>207</v>
      </c>
      <c r="I34" s="10" t="s">
        <v>208</v>
      </c>
      <c r="J34" s="11"/>
    </row>
    <row r="35" spans="1:10" ht="28.5">
      <c r="A35" s="13" t="s">
        <v>209</v>
      </c>
      <c r="B35" s="15" t="s">
        <v>45</v>
      </c>
      <c r="C35" s="13">
        <v>25</v>
      </c>
      <c r="D35" s="14" t="s">
        <v>197</v>
      </c>
      <c r="E35" s="14" t="s">
        <v>210</v>
      </c>
      <c r="F35" s="32" t="s">
        <v>211</v>
      </c>
      <c r="G35" s="15" t="s">
        <v>212</v>
      </c>
      <c r="H35" s="15" t="s">
        <v>49</v>
      </c>
      <c r="I35" s="14" t="s">
        <v>213</v>
      </c>
      <c r="J35" s="15"/>
    </row>
    <row r="36" spans="1:10" ht="28.5">
      <c r="A36" s="9" t="s">
        <v>214</v>
      </c>
      <c r="B36" s="11" t="s">
        <v>45</v>
      </c>
      <c r="C36" s="9">
        <v>26</v>
      </c>
      <c r="D36" s="10" t="s">
        <v>197</v>
      </c>
      <c r="E36" s="10" t="s">
        <v>215</v>
      </c>
      <c r="F36" s="33" t="s">
        <v>216</v>
      </c>
      <c r="G36" s="11" t="s">
        <v>217</v>
      </c>
      <c r="H36" s="11" t="s">
        <v>218</v>
      </c>
      <c r="I36" s="10" t="s">
        <v>219</v>
      </c>
      <c r="J36" s="11"/>
    </row>
    <row r="37" spans="1:10" ht="28.5">
      <c r="A37" s="19" t="s">
        <v>220</v>
      </c>
      <c r="B37" s="20" t="s">
        <v>45</v>
      </c>
      <c r="C37" s="19">
        <v>27</v>
      </c>
      <c r="D37" s="21" t="s">
        <v>197</v>
      </c>
      <c r="E37" s="21" t="s">
        <v>221</v>
      </c>
      <c r="F37" s="34" t="s">
        <v>222</v>
      </c>
      <c r="G37" s="20" t="s">
        <v>223</v>
      </c>
      <c r="H37" s="20" t="s">
        <v>224</v>
      </c>
      <c r="I37" s="21" t="s">
        <v>225</v>
      </c>
      <c r="J37" s="20" t="s">
        <v>226</v>
      </c>
    </row>
    <row r="38" spans="1:10" ht="28.5">
      <c r="A38" s="9" t="s">
        <v>227</v>
      </c>
      <c r="B38" s="11" t="s">
        <v>53</v>
      </c>
      <c r="C38" s="9">
        <v>1</v>
      </c>
      <c r="D38" s="10" t="s">
        <v>78</v>
      </c>
      <c r="E38" s="10" t="s">
        <v>228</v>
      </c>
      <c r="F38" s="33" t="s">
        <v>229</v>
      </c>
      <c r="G38" s="11" t="s">
        <v>46</v>
      </c>
      <c r="H38" s="11" t="s">
        <v>230</v>
      </c>
      <c r="I38" s="10" t="s">
        <v>231</v>
      </c>
      <c r="J38" s="11"/>
    </row>
    <row r="39" spans="1:10" ht="28.5">
      <c r="A39" s="13" t="s">
        <v>232</v>
      </c>
      <c r="B39" s="15" t="s">
        <v>53</v>
      </c>
      <c r="C39" s="13">
        <v>2</v>
      </c>
      <c r="D39" s="14" t="s">
        <v>78</v>
      </c>
      <c r="E39" s="14" t="s">
        <v>233</v>
      </c>
      <c r="F39" s="32" t="s">
        <v>234</v>
      </c>
      <c r="G39" s="15" t="s">
        <v>46</v>
      </c>
      <c r="H39" s="15" t="s">
        <v>91</v>
      </c>
      <c r="I39" s="14" t="s">
        <v>235</v>
      </c>
      <c r="J39" s="15"/>
    </row>
    <row r="40" spans="1:10" ht="28.5">
      <c r="A40" s="9" t="s">
        <v>236</v>
      </c>
      <c r="B40" s="11" t="s">
        <v>53</v>
      </c>
      <c r="C40" s="9">
        <v>3</v>
      </c>
      <c r="D40" s="10" t="s">
        <v>78</v>
      </c>
      <c r="E40" s="10" t="s">
        <v>237</v>
      </c>
      <c r="F40" s="33" t="s">
        <v>238</v>
      </c>
      <c r="G40" s="11" t="s">
        <v>239</v>
      </c>
      <c r="H40" s="11" t="s">
        <v>240</v>
      </c>
      <c r="I40" s="10" t="s">
        <v>241</v>
      </c>
      <c r="J40" s="11"/>
    </row>
    <row r="41" spans="1:10" ht="28.5">
      <c r="A41" s="13" t="s">
        <v>242</v>
      </c>
      <c r="B41" s="15" t="s">
        <v>53</v>
      </c>
      <c r="C41" s="13">
        <v>4</v>
      </c>
      <c r="D41" s="14" t="s">
        <v>78</v>
      </c>
      <c r="E41" s="14" t="s">
        <v>243</v>
      </c>
      <c r="F41" s="32" t="s">
        <v>244</v>
      </c>
      <c r="G41" s="15" t="s">
        <v>245</v>
      </c>
      <c r="H41" s="15" t="s">
        <v>246</v>
      </c>
      <c r="I41" s="14" t="s">
        <v>247</v>
      </c>
      <c r="J41" s="15"/>
    </row>
    <row r="42" spans="1:10" ht="28.5">
      <c r="A42" s="9" t="s">
        <v>248</v>
      </c>
      <c r="B42" s="11" t="s">
        <v>53</v>
      </c>
      <c r="C42" s="9">
        <v>5</v>
      </c>
      <c r="D42" s="10" t="s">
        <v>99</v>
      </c>
      <c r="E42" s="10" t="s">
        <v>249</v>
      </c>
      <c r="F42" s="33" t="s">
        <v>250</v>
      </c>
      <c r="G42" s="11" t="s">
        <v>240</v>
      </c>
      <c r="H42" s="11" t="s">
        <v>113</v>
      </c>
      <c r="I42" s="10" t="s">
        <v>251</v>
      </c>
      <c r="J42" s="11"/>
    </row>
    <row r="43" spans="1:10" ht="28.5">
      <c r="A43" s="13" t="s">
        <v>252</v>
      </c>
      <c r="B43" s="15" t="s">
        <v>53</v>
      </c>
      <c r="C43" s="13">
        <v>6</v>
      </c>
      <c r="D43" s="14" t="s">
        <v>99</v>
      </c>
      <c r="E43" s="14" t="s">
        <v>253</v>
      </c>
      <c r="F43" s="32" t="s">
        <v>254</v>
      </c>
      <c r="G43" s="15" t="s">
        <v>255</v>
      </c>
      <c r="H43" s="15" t="s">
        <v>113</v>
      </c>
      <c r="I43" s="14" t="s">
        <v>256</v>
      </c>
      <c r="J43" s="15"/>
    </row>
    <row r="44" spans="1:10" ht="28.5">
      <c r="A44" s="9" t="s">
        <v>257</v>
      </c>
      <c r="B44" s="11" t="s">
        <v>53</v>
      </c>
      <c r="C44" s="9">
        <v>7</v>
      </c>
      <c r="D44" s="10" t="s">
        <v>99</v>
      </c>
      <c r="E44" s="10" t="s">
        <v>258</v>
      </c>
      <c r="F44" s="33" t="s">
        <v>259</v>
      </c>
      <c r="G44" s="11" t="s">
        <v>260</v>
      </c>
      <c r="H44" s="11" t="s">
        <v>261</v>
      </c>
      <c r="I44" s="10" t="s">
        <v>262</v>
      </c>
      <c r="J44" s="11"/>
    </row>
    <row r="45" spans="1:10" ht="28.5">
      <c r="A45" s="13" t="s">
        <v>263</v>
      </c>
      <c r="B45" s="15" t="s">
        <v>53</v>
      </c>
      <c r="C45" s="13">
        <v>8</v>
      </c>
      <c r="D45" s="14" t="s">
        <v>99</v>
      </c>
      <c r="E45" s="14" t="s">
        <v>264</v>
      </c>
      <c r="F45" s="32" t="s">
        <v>265</v>
      </c>
      <c r="G45" s="15" t="s">
        <v>266</v>
      </c>
      <c r="H45" s="15" t="s">
        <v>267</v>
      </c>
      <c r="I45" s="14" t="s">
        <v>268</v>
      </c>
      <c r="J45" s="15"/>
    </row>
    <row r="46" spans="1:10" ht="28.5">
      <c r="A46" s="9" t="s">
        <v>269</v>
      </c>
      <c r="B46" s="11" t="s">
        <v>53</v>
      </c>
      <c r="C46" s="9">
        <v>9</v>
      </c>
      <c r="D46" s="10" t="s">
        <v>120</v>
      </c>
      <c r="E46" s="10" t="s">
        <v>270</v>
      </c>
      <c r="F46" s="33" t="s">
        <v>271</v>
      </c>
      <c r="G46" s="11" t="s">
        <v>123</v>
      </c>
      <c r="H46" s="11" t="s">
        <v>272</v>
      </c>
      <c r="I46" s="10" t="s">
        <v>273</v>
      </c>
      <c r="J46" s="11"/>
    </row>
    <row r="47" spans="1:10">
      <c r="A47" s="19" t="s">
        <v>274</v>
      </c>
      <c r="B47" s="20" t="s">
        <v>53</v>
      </c>
      <c r="C47" s="19">
        <v>10</v>
      </c>
      <c r="D47" s="21" t="s">
        <v>120</v>
      </c>
      <c r="E47" s="21" t="s">
        <v>127</v>
      </c>
      <c r="F47" s="34" t="s">
        <v>275</v>
      </c>
      <c r="G47" s="20" t="s">
        <v>123</v>
      </c>
      <c r="H47" s="20" t="s">
        <v>129</v>
      </c>
      <c r="I47" s="21" t="s">
        <v>130</v>
      </c>
      <c r="J47" s="20" t="s">
        <v>131</v>
      </c>
    </row>
    <row r="48" spans="1:10" ht="28.5">
      <c r="A48" s="9" t="s">
        <v>276</v>
      </c>
      <c r="B48" s="11" t="s">
        <v>53</v>
      </c>
      <c r="C48" s="9">
        <v>11</v>
      </c>
      <c r="D48" s="10" t="s">
        <v>120</v>
      </c>
      <c r="E48" s="10" t="s">
        <v>277</v>
      </c>
      <c r="F48" s="33" t="s">
        <v>278</v>
      </c>
      <c r="G48" s="11" t="s">
        <v>135</v>
      </c>
      <c r="H48" s="11" t="s">
        <v>142</v>
      </c>
      <c r="I48" s="10" t="s">
        <v>279</v>
      </c>
      <c r="J48" s="11"/>
    </row>
    <row r="49" spans="1:10" ht="28.5">
      <c r="A49" s="13" t="s">
        <v>280</v>
      </c>
      <c r="B49" s="15" t="s">
        <v>53</v>
      </c>
      <c r="C49" s="13">
        <v>12</v>
      </c>
      <c r="D49" s="14" t="s">
        <v>120</v>
      </c>
      <c r="E49" s="14" t="s">
        <v>281</v>
      </c>
      <c r="F49" s="32" t="s">
        <v>282</v>
      </c>
      <c r="G49" s="15" t="s">
        <v>153</v>
      </c>
      <c r="H49" s="15" t="s">
        <v>160</v>
      </c>
      <c r="I49" s="14" t="s">
        <v>283</v>
      </c>
      <c r="J49" s="15"/>
    </row>
    <row r="50" spans="1:10" ht="28.5">
      <c r="A50" s="9" t="s">
        <v>284</v>
      </c>
      <c r="B50" s="11" t="s">
        <v>53</v>
      </c>
      <c r="C50" s="9">
        <v>13</v>
      </c>
      <c r="D50" s="10" t="s">
        <v>120</v>
      </c>
      <c r="E50" s="10" t="s">
        <v>285</v>
      </c>
      <c r="F50" s="33" t="s">
        <v>286</v>
      </c>
      <c r="G50" s="11" t="s">
        <v>123</v>
      </c>
      <c r="H50" s="11" t="s">
        <v>166</v>
      </c>
      <c r="I50" s="10" t="s">
        <v>287</v>
      </c>
      <c r="J50" s="11"/>
    </row>
    <row r="51" spans="1:10" ht="28.5">
      <c r="A51" s="13" t="s">
        <v>288</v>
      </c>
      <c r="B51" s="15" t="s">
        <v>53</v>
      </c>
      <c r="C51" s="13">
        <v>14</v>
      </c>
      <c r="D51" s="14" t="s">
        <v>150</v>
      </c>
      <c r="E51" s="14" t="s">
        <v>289</v>
      </c>
      <c r="F51" s="32" t="s">
        <v>290</v>
      </c>
      <c r="G51" s="15" t="s">
        <v>165</v>
      </c>
      <c r="H51" s="15" t="s">
        <v>48</v>
      </c>
      <c r="I51" s="14" t="s">
        <v>291</v>
      </c>
      <c r="J51" s="15"/>
    </row>
    <row r="52" spans="1:10" ht="28.5">
      <c r="A52" s="9" t="s">
        <v>292</v>
      </c>
      <c r="B52" s="11" t="s">
        <v>53</v>
      </c>
      <c r="C52" s="9">
        <v>15</v>
      </c>
      <c r="D52" s="10" t="s">
        <v>150</v>
      </c>
      <c r="E52" s="10" t="s">
        <v>293</v>
      </c>
      <c r="F52" s="33" t="s">
        <v>294</v>
      </c>
      <c r="G52" s="11" t="s">
        <v>186</v>
      </c>
      <c r="H52" s="11" t="s">
        <v>295</v>
      </c>
      <c r="I52" s="10" t="s">
        <v>296</v>
      </c>
      <c r="J52" s="11"/>
    </row>
    <row r="53" spans="1:10" ht="28.5">
      <c r="A53" s="13" t="s">
        <v>297</v>
      </c>
      <c r="B53" s="15" t="s">
        <v>53</v>
      </c>
      <c r="C53" s="13">
        <v>16</v>
      </c>
      <c r="D53" s="14" t="s">
        <v>150</v>
      </c>
      <c r="E53" s="14" t="s">
        <v>298</v>
      </c>
      <c r="F53" s="32" t="s">
        <v>299</v>
      </c>
      <c r="G53" s="15" t="s">
        <v>300</v>
      </c>
      <c r="H53" s="15" t="s">
        <v>301</v>
      </c>
      <c r="I53" s="14" t="s">
        <v>302</v>
      </c>
      <c r="J53" s="15"/>
    </row>
    <row r="54" spans="1:10" ht="28.5">
      <c r="A54" s="9" t="s">
        <v>303</v>
      </c>
      <c r="B54" s="11" t="s">
        <v>53</v>
      </c>
      <c r="C54" s="9">
        <v>17</v>
      </c>
      <c r="D54" s="10" t="s">
        <v>150</v>
      </c>
      <c r="E54" s="10" t="s">
        <v>304</v>
      </c>
      <c r="F54" s="33" t="s">
        <v>305</v>
      </c>
      <c r="G54" s="11" t="s">
        <v>306</v>
      </c>
      <c r="H54" s="11" t="s">
        <v>206</v>
      </c>
      <c r="I54" s="10" t="s">
        <v>307</v>
      </c>
      <c r="J54" s="11"/>
    </row>
    <row r="55" spans="1:10" ht="28.5">
      <c r="A55" s="13" t="s">
        <v>308</v>
      </c>
      <c r="B55" s="15" t="s">
        <v>53</v>
      </c>
      <c r="C55" s="13">
        <v>18</v>
      </c>
      <c r="D55" s="14" t="s">
        <v>175</v>
      </c>
      <c r="E55" s="14" t="s">
        <v>309</v>
      </c>
      <c r="F55" s="32" t="s">
        <v>310</v>
      </c>
      <c r="G55" s="15" t="s">
        <v>154</v>
      </c>
      <c r="H55" s="15" t="s">
        <v>48</v>
      </c>
      <c r="I55" s="14" t="s">
        <v>311</v>
      </c>
      <c r="J55" s="15"/>
    </row>
    <row r="56" spans="1:10" ht="28.5">
      <c r="A56" s="9" t="s">
        <v>312</v>
      </c>
      <c r="B56" s="11" t="s">
        <v>53</v>
      </c>
      <c r="C56" s="9">
        <v>19</v>
      </c>
      <c r="D56" s="10" t="s">
        <v>175</v>
      </c>
      <c r="E56" s="10" t="s">
        <v>313</v>
      </c>
      <c r="F56" s="33" t="s">
        <v>314</v>
      </c>
      <c r="G56" s="11" t="s">
        <v>300</v>
      </c>
      <c r="H56" s="11" t="s">
        <v>206</v>
      </c>
      <c r="I56" s="10" t="s">
        <v>315</v>
      </c>
      <c r="J56" s="11"/>
    </row>
    <row r="57" spans="1:10" ht="28.5">
      <c r="A57" s="13" t="s">
        <v>316</v>
      </c>
      <c r="B57" s="15" t="s">
        <v>53</v>
      </c>
      <c r="C57" s="13">
        <v>20</v>
      </c>
      <c r="D57" s="14" t="s">
        <v>175</v>
      </c>
      <c r="E57" s="14" t="s">
        <v>317</v>
      </c>
      <c r="F57" s="32" t="s">
        <v>318</v>
      </c>
      <c r="G57" s="15" t="s">
        <v>319</v>
      </c>
      <c r="H57" s="15" t="s">
        <v>320</v>
      </c>
      <c r="I57" s="14" t="s">
        <v>321</v>
      </c>
      <c r="J57" s="15"/>
    </row>
    <row r="58" spans="1:10" ht="28.5">
      <c r="A58" s="9" t="s">
        <v>322</v>
      </c>
      <c r="B58" s="11" t="s">
        <v>53</v>
      </c>
      <c r="C58" s="9">
        <v>21</v>
      </c>
      <c r="D58" s="10" t="s">
        <v>175</v>
      </c>
      <c r="E58" s="10" t="s">
        <v>323</v>
      </c>
      <c r="F58" s="33" t="s">
        <v>324</v>
      </c>
      <c r="G58" s="11" t="s">
        <v>325</v>
      </c>
      <c r="H58" s="11" t="s">
        <v>54</v>
      </c>
      <c r="I58" s="10" t="s">
        <v>326</v>
      </c>
      <c r="J58" s="11"/>
    </row>
    <row r="59" spans="1:10" ht="28.5">
      <c r="A59" s="19" t="s">
        <v>327</v>
      </c>
      <c r="B59" s="20" t="s">
        <v>53</v>
      </c>
      <c r="C59" s="19">
        <v>22</v>
      </c>
      <c r="D59" s="21" t="s">
        <v>175</v>
      </c>
      <c r="E59" s="21" t="s">
        <v>328</v>
      </c>
      <c r="F59" s="34" t="s">
        <v>329</v>
      </c>
      <c r="G59" s="20" t="s">
        <v>54</v>
      </c>
      <c r="H59" s="20" t="s">
        <v>54</v>
      </c>
      <c r="I59" s="21" t="s">
        <v>330</v>
      </c>
      <c r="J59" s="20" t="s">
        <v>40</v>
      </c>
    </row>
    <row r="60" spans="1:10" ht="28.5">
      <c r="A60" s="19" t="s">
        <v>331</v>
      </c>
      <c r="B60" s="20" t="s">
        <v>53</v>
      </c>
      <c r="C60" s="19">
        <v>23</v>
      </c>
      <c r="D60" s="21" t="s">
        <v>332</v>
      </c>
      <c r="E60" s="21" t="s">
        <v>198</v>
      </c>
      <c r="F60" s="34" t="s">
        <v>333</v>
      </c>
      <c r="G60" s="20" t="s">
        <v>334</v>
      </c>
      <c r="H60" s="20" t="s">
        <v>55</v>
      </c>
      <c r="I60" s="21" t="s">
        <v>335</v>
      </c>
      <c r="J60" s="20" t="s">
        <v>202</v>
      </c>
    </row>
    <row r="61" spans="1:10" ht="28.5">
      <c r="A61" s="13" t="s">
        <v>336</v>
      </c>
      <c r="B61" s="15" t="s">
        <v>53</v>
      </c>
      <c r="C61" s="13">
        <v>24</v>
      </c>
      <c r="D61" s="14" t="s">
        <v>332</v>
      </c>
      <c r="E61" s="14" t="s">
        <v>337</v>
      </c>
      <c r="F61" s="32" t="s">
        <v>338</v>
      </c>
      <c r="G61" s="15" t="s">
        <v>339</v>
      </c>
      <c r="H61" s="15" t="s">
        <v>223</v>
      </c>
      <c r="I61" s="14" t="s">
        <v>340</v>
      </c>
      <c r="J61" s="15"/>
    </row>
    <row r="62" spans="1:10" ht="28.5">
      <c r="A62" s="9" t="s">
        <v>341</v>
      </c>
      <c r="B62" s="11" t="s">
        <v>53</v>
      </c>
      <c r="C62" s="9">
        <v>25</v>
      </c>
      <c r="D62" s="10" t="s">
        <v>332</v>
      </c>
      <c r="E62" s="10" t="s">
        <v>342</v>
      </c>
      <c r="F62" s="33" t="s">
        <v>343</v>
      </c>
      <c r="G62" s="11" t="s">
        <v>344</v>
      </c>
      <c r="H62" s="11" t="s">
        <v>345</v>
      </c>
      <c r="I62" s="10" t="s">
        <v>346</v>
      </c>
      <c r="J62" s="11"/>
    </row>
    <row r="63" spans="1:10" ht="28.5">
      <c r="A63" s="13" t="s">
        <v>347</v>
      </c>
      <c r="B63" s="15" t="s">
        <v>53</v>
      </c>
      <c r="C63" s="13">
        <v>26</v>
      </c>
      <c r="D63" s="14" t="s">
        <v>332</v>
      </c>
      <c r="E63" s="14" t="s">
        <v>348</v>
      </c>
      <c r="F63" s="32" t="s">
        <v>349</v>
      </c>
      <c r="G63" s="15" t="s">
        <v>350</v>
      </c>
      <c r="H63" s="15" t="s">
        <v>351</v>
      </c>
      <c r="I63" s="14" t="s">
        <v>352</v>
      </c>
      <c r="J63" s="15"/>
    </row>
    <row r="64" spans="1:10" ht="28.5">
      <c r="A64" s="19" t="s">
        <v>353</v>
      </c>
      <c r="B64" s="20" t="s">
        <v>53</v>
      </c>
      <c r="C64" s="19">
        <v>27</v>
      </c>
      <c r="D64" s="21" t="s">
        <v>332</v>
      </c>
      <c r="E64" s="21" t="s">
        <v>354</v>
      </c>
      <c r="F64" s="34" t="s">
        <v>355</v>
      </c>
      <c r="G64" s="20" t="s">
        <v>351</v>
      </c>
      <c r="H64" s="20" t="s">
        <v>356</v>
      </c>
      <c r="I64" s="21" t="s">
        <v>357</v>
      </c>
      <c r="J64" s="20" t="s">
        <v>226</v>
      </c>
    </row>
    <row r="65" spans="1:10" ht="28.5">
      <c r="A65" s="13" t="s">
        <v>358</v>
      </c>
      <c r="B65" s="15" t="s">
        <v>59</v>
      </c>
      <c r="C65" s="13">
        <v>1</v>
      </c>
      <c r="D65" s="14" t="s">
        <v>78</v>
      </c>
      <c r="E65" s="14" t="s">
        <v>359</v>
      </c>
      <c r="F65" s="32" t="s">
        <v>360</v>
      </c>
      <c r="G65" s="15" t="s">
        <v>60</v>
      </c>
      <c r="H65" s="15" t="s">
        <v>361</v>
      </c>
      <c r="I65" s="14" t="s">
        <v>362</v>
      </c>
      <c r="J65" s="15"/>
    </row>
    <row r="66" spans="1:10" ht="28.5">
      <c r="A66" s="9" t="s">
        <v>363</v>
      </c>
      <c r="B66" s="11" t="s">
        <v>59</v>
      </c>
      <c r="C66" s="9">
        <v>2</v>
      </c>
      <c r="D66" s="10" t="s">
        <v>78</v>
      </c>
      <c r="E66" s="10" t="s">
        <v>364</v>
      </c>
      <c r="F66" s="33" t="s">
        <v>365</v>
      </c>
      <c r="G66" s="11" t="s">
        <v>366</v>
      </c>
      <c r="H66" s="11" t="s">
        <v>91</v>
      </c>
      <c r="I66" s="10" t="s">
        <v>367</v>
      </c>
      <c r="J66" s="11"/>
    </row>
    <row r="67" spans="1:10" ht="28.5">
      <c r="A67" s="13" t="s">
        <v>368</v>
      </c>
      <c r="B67" s="15" t="s">
        <v>59</v>
      </c>
      <c r="C67" s="13">
        <v>3</v>
      </c>
      <c r="D67" s="14" t="s">
        <v>78</v>
      </c>
      <c r="E67" s="14" t="s">
        <v>369</v>
      </c>
      <c r="F67" s="32" t="s">
        <v>370</v>
      </c>
      <c r="G67" s="15" t="s">
        <v>239</v>
      </c>
      <c r="H67" s="15" t="s">
        <v>371</v>
      </c>
      <c r="I67" s="14" t="s">
        <v>372</v>
      </c>
      <c r="J67" s="15"/>
    </row>
    <row r="68" spans="1:10" ht="28.5">
      <c r="A68" s="9" t="s">
        <v>373</v>
      </c>
      <c r="B68" s="11" t="s">
        <v>59</v>
      </c>
      <c r="C68" s="9">
        <v>4</v>
      </c>
      <c r="D68" s="10" t="s">
        <v>78</v>
      </c>
      <c r="E68" s="10" t="s">
        <v>374</v>
      </c>
      <c r="F68" s="33" t="s">
        <v>375</v>
      </c>
      <c r="G68" s="11" t="s">
        <v>91</v>
      </c>
      <c r="H68" s="11" t="s">
        <v>123</v>
      </c>
      <c r="I68" s="10" t="s">
        <v>376</v>
      </c>
      <c r="J68" s="11"/>
    </row>
    <row r="69" spans="1:10" ht="28.5">
      <c r="A69" s="13" t="s">
        <v>377</v>
      </c>
      <c r="B69" s="15" t="s">
        <v>59</v>
      </c>
      <c r="C69" s="13">
        <v>5</v>
      </c>
      <c r="D69" s="14" t="s">
        <v>99</v>
      </c>
      <c r="E69" s="14" t="s">
        <v>378</v>
      </c>
      <c r="F69" s="32" t="s">
        <v>379</v>
      </c>
      <c r="G69" s="15" t="s">
        <v>260</v>
      </c>
      <c r="H69" s="15" t="s">
        <v>135</v>
      </c>
      <c r="I69" s="14" t="s">
        <v>380</v>
      </c>
      <c r="J69" s="15"/>
    </row>
    <row r="70" spans="1:10" ht="28.5">
      <c r="A70" s="9" t="s">
        <v>381</v>
      </c>
      <c r="B70" s="11" t="s">
        <v>59</v>
      </c>
      <c r="C70" s="9">
        <v>6</v>
      </c>
      <c r="D70" s="10" t="s">
        <v>99</v>
      </c>
      <c r="E70" s="10" t="s">
        <v>382</v>
      </c>
      <c r="F70" s="33" t="s">
        <v>383</v>
      </c>
      <c r="G70" s="11" t="s">
        <v>123</v>
      </c>
      <c r="H70" s="11" t="s">
        <v>384</v>
      </c>
      <c r="I70" s="10" t="s">
        <v>385</v>
      </c>
      <c r="J70" s="11"/>
    </row>
    <row r="71" spans="1:10" ht="28.5">
      <c r="A71" s="13" t="s">
        <v>386</v>
      </c>
      <c r="B71" s="15" t="s">
        <v>59</v>
      </c>
      <c r="C71" s="13">
        <v>7</v>
      </c>
      <c r="D71" s="14" t="s">
        <v>99</v>
      </c>
      <c r="E71" s="14" t="s">
        <v>387</v>
      </c>
      <c r="F71" s="32" t="s">
        <v>388</v>
      </c>
      <c r="G71" s="15" t="s">
        <v>389</v>
      </c>
      <c r="H71" s="15" t="s">
        <v>390</v>
      </c>
      <c r="I71" s="14" t="s">
        <v>391</v>
      </c>
      <c r="J71" s="15"/>
    </row>
    <row r="72" spans="1:10" ht="28.5">
      <c r="A72" s="9" t="s">
        <v>392</v>
      </c>
      <c r="B72" s="11" t="s">
        <v>59</v>
      </c>
      <c r="C72" s="9">
        <v>8</v>
      </c>
      <c r="D72" s="10" t="s">
        <v>99</v>
      </c>
      <c r="E72" s="10" t="s">
        <v>393</v>
      </c>
      <c r="F72" s="33" t="s">
        <v>394</v>
      </c>
      <c r="G72" s="11" t="s">
        <v>135</v>
      </c>
      <c r="H72" s="11" t="s">
        <v>395</v>
      </c>
      <c r="I72" s="10" t="s">
        <v>396</v>
      </c>
      <c r="J72" s="11"/>
    </row>
    <row r="73" spans="1:10" ht="28.5">
      <c r="A73" s="13" t="s">
        <v>397</v>
      </c>
      <c r="B73" s="15" t="s">
        <v>59</v>
      </c>
      <c r="C73" s="13">
        <v>9</v>
      </c>
      <c r="D73" s="14" t="s">
        <v>120</v>
      </c>
      <c r="E73" s="14" t="s">
        <v>398</v>
      </c>
      <c r="F73" s="32" t="s">
        <v>399</v>
      </c>
      <c r="G73" s="15" t="s">
        <v>390</v>
      </c>
      <c r="H73" s="15" t="s">
        <v>400</v>
      </c>
      <c r="I73" s="14" t="s">
        <v>401</v>
      </c>
      <c r="J73" s="15"/>
    </row>
    <row r="74" spans="1:10" ht="28.5">
      <c r="A74" s="19" t="s">
        <v>402</v>
      </c>
      <c r="B74" s="20" t="s">
        <v>59</v>
      </c>
      <c r="C74" s="19">
        <v>10</v>
      </c>
      <c r="D74" s="21" t="s">
        <v>120</v>
      </c>
      <c r="E74" s="21" t="s">
        <v>403</v>
      </c>
      <c r="F74" s="34" t="s">
        <v>404</v>
      </c>
      <c r="G74" s="20" t="s">
        <v>405</v>
      </c>
      <c r="H74" s="20" t="s">
        <v>171</v>
      </c>
      <c r="I74" s="21" t="s">
        <v>130</v>
      </c>
      <c r="J74" s="20" t="s">
        <v>131</v>
      </c>
    </row>
    <row r="75" spans="1:10" ht="28.5">
      <c r="A75" s="13" t="s">
        <v>406</v>
      </c>
      <c r="B75" s="15" t="s">
        <v>59</v>
      </c>
      <c r="C75" s="13">
        <v>11</v>
      </c>
      <c r="D75" s="14" t="s">
        <v>120</v>
      </c>
      <c r="E75" s="14" t="s">
        <v>407</v>
      </c>
      <c r="F75" s="32" t="s">
        <v>408</v>
      </c>
      <c r="G75" s="15" t="s">
        <v>400</v>
      </c>
      <c r="H75" s="15" t="s">
        <v>295</v>
      </c>
      <c r="I75" s="14" t="s">
        <v>409</v>
      </c>
      <c r="J75" s="15"/>
    </row>
    <row r="76" spans="1:10" ht="28.5">
      <c r="A76" s="9" t="s">
        <v>410</v>
      </c>
      <c r="B76" s="11" t="s">
        <v>59</v>
      </c>
      <c r="C76" s="9">
        <v>12</v>
      </c>
      <c r="D76" s="10" t="s">
        <v>120</v>
      </c>
      <c r="E76" s="10" t="s">
        <v>411</v>
      </c>
      <c r="F76" s="33" t="s">
        <v>412</v>
      </c>
      <c r="G76" s="11" t="s">
        <v>48</v>
      </c>
      <c r="H76" s="11" t="s">
        <v>54</v>
      </c>
      <c r="I76" s="10" t="s">
        <v>413</v>
      </c>
      <c r="J76" s="11"/>
    </row>
    <row r="77" spans="1:10" ht="28.5">
      <c r="A77" s="13" t="s">
        <v>414</v>
      </c>
      <c r="B77" s="15" t="s">
        <v>59</v>
      </c>
      <c r="C77" s="13">
        <v>13</v>
      </c>
      <c r="D77" s="14" t="s">
        <v>120</v>
      </c>
      <c r="E77" s="14" t="s">
        <v>415</v>
      </c>
      <c r="F77" s="32" t="s">
        <v>416</v>
      </c>
      <c r="G77" s="15" t="s">
        <v>60</v>
      </c>
      <c r="H77" s="15" t="s">
        <v>417</v>
      </c>
      <c r="I77" s="14" t="s">
        <v>418</v>
      </c>
      <c r="J77" s="15"/>
    </row>
    <row r="78" spans="1:10" ht="28.5">
      <c r="A78" s="9" t="s">
        <v>419</v>
      </c>
      <c r="B78" s="11" t="s">
        <v>59</v>
      </c>
      <c r="C78" s="9">
        <v>14</v>
      </c>
      <c r="D78" s="10" t="s">
        <v>150</v>
      </c>
      <c r="E78" s="10" t="s">
        <v>420</v>
      </c>
      <c r="F78" s="33" t="s">
        <v>421</v>
      </c>
      <c r="G78" s="11" t="s">
        <v>319</v>
      </c>
      <c r="H78" s="11" t="s">
        <v>207</v>
      </c>
      <c r="I78" s="10" t="s">
        <v>422</v>
      </c>
      <c r="J78" s="11"/>
    </row>
    <row r="79" spans="1:10" ht="28.5">
      <c r="A79" s="13" t="s">
        <v>423</v>
      </c>
      <c r="B79" s="15" t="s">
        <v>59</v>
      </c>
      <c r="C79" s="13">
        <v>15</v>
      </c>
      <c r="D79" s="14" t="s">
        <v>150</v>
      </c>
      <c r="E79" s="14" t="s">
        <v>424</v>
      </c>
      <c r="F79" s="32" t="s">
        <v>425</v>
      </c>
      <c r="G79" s="15" t="s">
        <v>54</v>
      </c>
      <c r="H79" s="15" t="s">
        <v>417</v>
      </c>
      <c r="I79" s="14" t="s">
        <v>426</v>
      </c>
      <c r="J79" s="15"/>
    </row>
    <row r="80" spans="1:10" ht="28.5">
      <c r="A80" s="9" t="s">
        <v>427</v>
      </c>
      <c r="B80" s="11" t="s">
        <v>59</v>
      </c>
      <c r="C80" s="9">
        <v>16</v>
      </c>
      <c r="D80" s="10" t="s">
        <v>150</v>
      </c>
      <c r="E80" s="10" t="s">
        <v>428</v>
      </c>
      <c r="F80" s="33" t="s">
        <v>429</v>
      </c>
      <c r="G80" s="11" t="s">
        <v>207</v>
      </c>
      <c r="H80" s="11" t="s">
        <v>430</v>
      </c>
      <c r="I80" s="10" t="s">
        <v>431</v>
      </c>
      <c r="J80" s="11"/>
    </row>
    <row r="81" spans="1:10" ht="28.5">
      <c r="A81" s="13" t="s">
        <v>432</v>
      </c>
      <c r="B81" s="15" t="s">
        <v>59</v>
      </c>
      <c r="C81" s="13">
        <v>17</v>
      </c>
      <c r="D81" s="14" t="s">
        <v>150</v>
      </c>
      <c r="E81" s="14" t="s">
        <v>433</v>
      </c>
      <c r="F81" s="32" t="s">
        <v>434</v>
      </c>
      <c r="G81" s="15" t="s">
        <v>417</v>
      </c>
      <c r="H81" s="15" t="s">
        <v>62</v>
      </c>
      <c r="I81" s="14" t="s">
        <v>435</v>
      </c>
      <c r="J81" s="15"/>
    </row>
    <row r="82" spans="1:10" ht="28.5">
      <c r="A82" s="9" t="s">
        <v>436</v>
      </c>
      <c r="B82" s="11" t="s">
        <v>59</v>
      </c>
      <c r="C82" s="9">
        <v>18</v>
      </c>
      <c r="D82" s="10" t="s">
        <v>175</v>
      </c>
      <c r="E82" s="10" t="s">
        <v>437</v>
      </c>
      <c r="F82" s="33" t="s">
        <v>438</v>
      </c>
      <c r="G82" s="11" t="s">
        <v>166</v>
      </c>
      <c r="H82" s="11" t="s">
        <v>207</v>
      </c>
      <c r="I82" s="10" t="s">
        <v>178</v>
      </c>
      <c r="J82" s="11"/>
    </row>
    <row r="83" spans="1:10" ht="28.5">
      <c r="A83" s="13" t="s">
        <v>439</v>
      </c>
      <c r="B83" s="15" t="s">
        <v>59</v>
      </c>
      <c r="C83" s="13">
        <v>19</v>
      </c>
      <c r="D83" s="14" t="s">
        <v>175</v>
      </c>
      <c r="E83" s="14" t="s">
        <v>440</v>
      </c>
      <c r="F83" s="32" t="s">
        <v>441</v>
      </c>
      <c r="G83" s="15" t="s">
        <v>207</v>
      </c>
      <c r="H83" s="15" t="s">
        <v>442</v>
      </c>
      <c r="I83" s="14" t="s">
        <v>443</v>
      </c>
      <c r="J83" s="15"/>
    </row>
    <row r="84" spans="1:10" ht="28.5">
      <c r="A84" s="9" t="s">
        <v>444</v>
      </c>
      <c r="B84" s="11" t="s">
        <v>59</v>
      </c>
      <c r="C84" s="9">
        <v>20</v>
      </c>
      <c r="D84" s="10" t="s">
        <v>175</v>
      </c>
      <c r="E84" s="10" t="s">
        <v>445</v>
      </c>
      <c r="F84" s="33" t="s">
        <v>446</v>
      </c>
      <c r="G84" s="11" t="s">
        <v>344</v>
      </c>
      <c r="H84" s="11" t="s">
        <v>62</v>
      </c>
      <c r="I84" s="10" t="s">
        <v>447</v>
      </c>
      <c r="J84" s="11"/>
    </row>
    <row r="85" spans="1:10" ht="28.5">
      <c r="A85" s="13" t="s">
        <v>448</v>
      </c>
      <c r="B85" s="15" t="s">
        <v>59</v>
      </c>
      <c r="C85" s="13">
        <v>21</v>
      </c>
      <c r="D85" s="14" t="s">
        <v>175</v>
      </c>
      <c r="E85" s="14" t="s">
        <v>449</v>
      </c>
      <c r="F85" s="32" t="s">
        <v>450</v>
      </c>
      <c r="G85" s="15" t="s">
        <v>451</v>
      </c>
      <c r="H85" s="15" t="s">
        <v>62</v>
      </c>
      <c r="I85" s="14" t="s">
        <v>452</v>
      </c>
      <c r="J85" s="15"/>
    </row>
    <row r="86" spans="1:10" ht="28.5">
      <c r="A86" s="19" t="s">
        <v>453</v>
      </c>
      <c r="B86" s="20" t="s">
        <v>59</v>
      </c>
      <c r="C86" s="19">
        <v>22</v>
      </c>
      <c r="D86" s="21" t="s">
        <v>175</v>
      </c>
      <c r="E86" s="21" t="s">
        <v>454</v>
      </c>
      <c r="F86" s="34" t="s">
        <v>455</v>
      </c>
      <c r="G86" s="20" t="s">
        <v>62</v>
      </c>
      <c r="H86" s="20" t="s">
        <v>62</v>
      </c>
      <c r="I86" s="21" t="s">
        <v>456</v>
      </c>
      <c r="J86" s="20" t="s">
        <v>40</v>
      </c>
    </row>
    <row r="87" spans="1:10" ht="28.5">
      <c r="A87" s="19" t="s">
        <v>457</v>
      </c>
      <c r="B87" s="20" t="s">
        <v>59</v>
      </c>
      <c r="C87" s="19">
        <v>23</v>
      </c>
      <c r="D87" s="21" t="s">
        <v>458</v>
      </c>
      <c r="E87" s="21" t="s">
        <v>459</v>
      </c>
      <c r="F87" s="34" t="s">
        <v>460</v>
      </c>
      <c r="G87" s="20" t="s">
        <v>461</v>
      </c>
      <c r="H87" s="20" t="s">
        <v>63</v>
      </c>
      <c r="I87" s="21" t="s">
        <v>462</v>
      </c>
      <c r="J87" s="20" t="s">
        <v>202</v>
      </c>
    </row>
    <row r="88" spans="1:10" ht="28.5">
      <c r="A88" s="9" t="s">
        <v>463</v>
      </c>
      <c r="B88" s="11" t="s">
        <v>59</v>
      </c>
      <c r="C88" s="9">
        <v>24</v>
      </c>
      <c r="D88" s="10" t="s">
        <v>458</v>
      </c>
      <c r="E88" s="10" t="s">
        <v>464</v>
      </c>
      <c r="F88" s="33" t="s">
        <v>465</v>
      </c>
      <c r="G88" s="11" t="s">
        <v>466</v>
      </c>
      <c r="H88" s="11" t="s">
        <v>467</v>
      </c>
      <c r="I88" s="10" t="s">
        <v>468</v>
      </c>
      <c r="J88" s="11"/>
    </row>
    <row r="89" spans="1:10" ht="28.5">
      <c r="A89" s="13" t="s">
        <v>469</v>
      </c>
      <c r="B89" s="15" t="s">
        <v>59</v>
      </c>
      <c r="C89" s="13">
        <v>25</v>
      </c>
      <c r="D89" s="14" t="s">
        <v>458</v>
      </c>
      <c r="E89" s="14" t="s">
        <v>342</v>
      </c>
      <c r="F89" s="32" t="s">
        <v>470</v>
      </c>
      <c r="G89" s="15" t="s">
        <v>471</v>
      </c>
      <c r="H89" s="15" t="s">
        <v>472</v>
      </c>
      <c r="I89" s="14" t="s">
        <v>346</v>
      </c>
      <c r="J89" s="15"/>
    </row>
    <row r="90" spans="1:10" ht="28.5">
      <c r="A90" s="9" t="s">
        <v>473</v>
      </c>
      <c r="B90" s="11" t="s">
        <v>59</v>
      </c>
      <c r="C90" s="9">
        <v>26</v>
      </c>
      <c r="D90" s="10" t="s">
        <v>458</v>
      </c>
      <c r="E90" s="10" t="s">
        <v>474</v>
      </c>
      <c r="F90" s="33" t="s">
        <v>475</v>
      </c>
      <c r="G90" s="11" t="s">
        <v>476</v>
      </c>
      <c r="H90" s="11" t="s">
        <v>477</v>
      </c>
      <c r="I90" s="10" t="s">
        <v>478</v>
      </c>
      <c r="J90" s="11"/>
    </row>
    <row r="91" spans="1:10" ht="28.5">
      <c r="A91" s="19" t="s">
        <v>479</v>
      </c>
      <c r="B91" s="20" t="s">
        <v>59</v>
      </c>
      <c r="C91" s="19">
        <v>27</v>
      </c>
      <c r="D91" s="21" t="s">
        <v>458</v>
      </c>
      <c r="E91" s="21" t="s">
        <v>480</v>
      </c>
      <c r="F91" s="34" t="s">
        <v>481</v>
      </c>
      <c r="G91" s="20" t="s">
        <v>482</v>
      </c>
      <c r="H91" s="20" t="s">
        <v>483</v>
      </c>
      <c r="I91" s="21" t="s">
        <v>484</v>
      </c>
      <c r="J91" s="20" t="s">
        <v>226</v>
      </c>
    </row>
    <row r="92" spans="1:10" ht="15.75" customHeight="1"/>
    <row r="93" spans="1:10" ht="15.75" customHeight="1"/>
    <row r="94" spans="1:10" ht="15.75" customHeight="1"/>
    <row r="95" spans="1:10" ht="15.75" customHeight="1"/>
    <row r="96" spans="1: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9rwblQa2wh+JtYoksobM0W0gzHm71C0gUehDY83VshsC+pPQIcDrCngspGes2stnl27O6zmS76EADvJ69AD/xg==" saltValue="8Jwjy68JOlo39WWK3NH9Dg==" spinCount="100000" sheet="1" formatCells="0" formatColumns="0" formatRows="0" insertColumns="0" insertRows="0" insertHyperlinks="0" deleteColumns="0" deleteRows="0" autoFilter="0" pivotTables="0"/>
  <mergeCells count="2">
    <mergeCell ref="A1:J1"/>
    <mergeCell ref="A2:J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E26" workbookViewId="0">
      <selection activeCell="D16" sqref="D16"/>
    </sheetView>
  </sheetViews>
  <sheetFormatPr defaultColWidth="14.42578125" defaultRowHeight="15" customHeight="1"/>
  <cols>
    <col min="1" max="1" width="17.85546875"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485</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32.25">
      <c r="A4" s="22" t="s">
        <v>487</v>
      </c>
      <c r="B4" s="1"/>
      <c r="C4" s="23" t="s">
        <v>45</v>
      </c>
      <c r="D4" s="1"/>
      <c r="E4" s="1"/>
      <c r="F4" s="22" t="s">
        <v>488</v>
      </c>
      <c r="G4" s="24" t="s">
        <v>489</v>
      </c>
      <c r="H4" s="1"/>
      <c r="I4" s="1"/>
      <c r="J4" s="38"/>
      <c r="L4" s="37" t="str">
        <f>IF(OR($C$4="Dự án + Đồ án",$C$4="Dự án + Khóa luận"),"Dự án CNTT",$C$4)</f>
        <v>Dự án CNTT</v>
      </c>
    </row>
    <row r="5" spans="1:12" ht="18">
      <c r="A5" s="17" t="s">
        <v>490</v>
      </c>
      <c r="B5" s="1"/>
      <c r="C5" s="86" t="s">
        <v>491</v>
      </c>
      <c r="D5" s="87"/>
      <c r="E5" s="87"/>
      <c r="F5" s="87"/>
      <c r="G5" s="87"/>
      <c r="H5" s="87"/>
      <c r="I5" s="88"/>
      <c r="J5" s="38"/>
    </row>
    <row r="6" spans="1:12" ht="28.5">
      <c r="A6" s="22" t="s">
        <v>492</v>
      </c>
      <c r="B6" s="1"/>
      <c r="C6" s="10" t="s">
        <v>493</v>
      </c>
      <c r="D6" s="1"/>
      <c r="E6" s="1"/>
      <c r="F6" s="22" t="s">
        <v>494</v>
      </c>
      <c r="G6" s="10" t="s">
        <v>495</v>
      </c>
      <c r="H6" s="1"/>
      <c r="I6" s="1"/>
      <c r="J6" s="38"/>
    </row>
    <row r="7" spans="1:12" ht="30.75">
      <c r="A7" s="22" t="s">
        <v>496</v>
      </c>
      <c r="B7" s="1"/>
      <c r="C7" s="40" t="s">
        <v>497</v>
      </c>
      <c r="D7" s="1"/>
      <c r="E7" s="1"/>
      <c r="F7" s="22" t="s">
        <v>498</v>
      </c>
      <c r="G7" s="40" t="s">
        <v>499</v>
      </c>
      <c r="H7" s="1"/>
      <c r="I7" s="1"/>
      <c r="J7" s="38"/>
    </row>
    <row r="8" spans="1:12" ht="28.5">
      <c r="A8" s="22" t="s">
        <v>500</v>
      </c>
      <c r="B8" s="1"/>
      <c r="C8" s="17" t="str">
        <f>VLOOKUP($L$4, Khung_KeHoach_Chuan!$A$5:$H$7, 2, FALSE)</f>
        <v>2026-08-24</v>
      </c>
      <c r="D8" s="1"/>
      <c r="E8" s="1"/>
      <c r="F8" s="22" t="s">
        <v>501</v>
      </c>
      <c r="G8" s="26" t="str">
        <f>VLOOKUP($L$4, Khung_KeHoach_Chuan!$A$5:$H$7, 4, FALSE)</f>
        <v>2026-11-20</v>
      </c>
      <c r="H8" s="1"/>
      <c r="I8" s="1"/>
      <c r="J8" s="38"/>
    </row>
    <row r="9" spans="1:12" ht="28.5">
      <c r="A9" s="22" t="s">
        <v>502</v>
      </c>
      <c r="B9" s="1"/>
      <c r="C9" s="26" t="str">
        <f>VLOOKUP($L$4, Khung_KeHoach_Chuan!$A$5:$H$7, 5, FALSE)</f>
        <v>2026-12-04</v>
      </c>
      <c r="D9" s="1"/>
      <c r="E9" s="1"/>
      <c r="F9" s="22" t="s">
        <v>503</v>
      </c>
      <c r="G9" s="27" t="str">
        <f>VLOOKUP($L$4, Khung_KeHoach_Chuan!$A$5:$H$7, 7, FALSE)</f>
        <v>26/12/2026 – 31/12/2026</v>
      </c>
      <c r="H9" s="1"/>
      <c r="I9" s="1"/>
      <c r="J9" s="38"/>
    </row>
    <row r="10" spans="1:12" ht="28.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18">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21</v>
      </c>
      <c r="C13" s="3">
        <f>COUNTIF(I16:I42, "Đang thực hiện") + IF($C$10&lt;&gt;"", COUNTIF(I45:I71, "Đang thực hiện"), 0)</f>
        <v>0</v>
      </c>
      <c r="D13" s="4">
        <f>COUNTIF(I16:I42, "Chưa bắt đầu") + IF($C$10&lt;&gt;"", COUNTIF(I45:I71, "Chưa bắt đầu"), 0)</f>
        <v>6</v>
      </c>
      <c r="E13" s="4"/>
      <c r="F13" s="29">
        <f>COUNTIF(I16:I42, "Tạm hoãn - Bị chặn") + IF($C$10&lt;&gt;"", COUNTIF(I45:I71, "Tạm hoãn - Bị chặn"), 0)</f>
        <v>0</v>
      </c>
      <c r="G13" s="28" t="str">
        <f>G8</f>
        <v>2026-11-20</v>
      </c>
      <c r="H13" s="30">
        <f>B13/A13</f>
        <v>0.77777777777777779</v>
      </c>
      <c r="I13" s="28" t="str">
        <f>IF(H13=1, "ĐÃ HOÀN TẤT", IF(H13&gt;=0.5, "ĐANG ĐÚNG HẠN", IF(F13&gt;0, "CẦN HỖ TRỢ", "ĐANG THỰC HIỆN")))</f>
        <v>ĐANG ĐÚNG HẠN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28.5">
      <c r="A16" s="9">
        <v>1</v>
      </c>
      <c r="B16" s="10" t="str">
        <f>VLOOKUP($L$4&amp;"_"&amp;$A16, Khung_KeHoach_Chuan!$A$11:$J$91, 4, FALSE)</f>
        <v>I. ĐỊNH HƯỚNG &amp; PHƯƠNG PHÁP LUẬN</v>
      </c>
      <c r="C16" s="17" t="str">
        <f>VLOOKUP($L$4&amp;"_"&amp;$A16, Khung_KeHoach_Chuan!$A$11:$J$91, 5, FALSE)</f>
        <v>Xác định bài toán mạng &amp; mục tiêu dự án SDN/SD-WAN</v>
      </c>
      <c r="D16" s="33" t="str">
        <f>VLOOKUP($L$4&amp;"_"&amp;$A16, Khung_KeHoach_Chuan!$A$11:$J$91, 6, FALSE)</f>
        <v>Vấn đề mạng cần giải quyết (định tuyến, QoS, giám sát, bảo mật...); phạm vi topology thử nghiệm</v>
      </c>
      <c r="E16" s="35"/>
      <c r="F16" s="11" t="str">
        <f>VLOOKUP($L$4&amp;"_"&amp;$A16, Khung_KeHoach_Chuan!$A$11:$J$91, 7, FALSE)</f>
        <v>2026-08-24</v>
      </c>
      <c r="G16" s="11" t="str">
        <f>VLOOKUP($L$4&amp;"_"&amp;$A16, Khung_KeHoach_Chuan!$A$11:$J$91, 8, FALSE)</f>
        <v>2026-08-28</v>
      </c>
      <c r="H16" s="10" t="str">
        <f>VLOOKUP($L$4&amp;"_"&amp;$A16, Khung_KeHoach_Chuan!$A$11:$J$91, 9, FALSE)</f>
        <v>Tuyên bố bài toán + Phạm vi triển khai SDN/SD-WAN v1</v>
      </c>
      <c r="I16" s="11" t="s">
        <v>517</v>
      </c>
      <c r="J16" s="10"/>
    </row>
    <row r="17" spans="1:10" ht="28.5">
      <c r="A17" s="13">
        <v>2</v>
      </c>
      <c r="B17" s="14" t="str">
        <f>VLOOKUP($L$4&amp;"_"&amp;$A17, Khung_KeHoach_Chuan!$A$11:$J$91, 4, FALSE)</f>
        <v>I. ĐỊNH HƯỚNG &amp; PHƯƠNG PHÁP LUẬN</v>
      </c>
      <c r="C17" s="16" t="str">
        <f>VLOOKUP($L$4&amp;"_"&amp;$A17, Khung_KeHoach_Chuan!$A$11:$J$91, 5, FALSE)</f>
        <v>Khảo sát kiến trúc SDN/SD-WAN &amp; giải pháp liên quan</v>
      </c>
      <c r="D17" s="32" t="str">
        <f>VLOOKUP($L$4&amp;"_"&amp;$A17, Khung_KeHoach_Chuan!$A$11:$J$91, 6, FALSE)</f>
        <v>Kiến trúc SDN (control/data plane, OpenFlow), nền tảng SD-WAN thương mại/mã nguồn mở</v>
      </c>
      <c r="E17" s="35"/>
      <c r="F17" s="15" t="str">
        <f>VLOOKUP($L$4&amp;"_"&amp;$A17, Khung_KeHoach_Chuan!$A$11:$J$91, 7, FALSE)</f>
        <v>2026-08-24</v>
      </c>
      <c r="G17" s="15" t="str">
        <f>VLOOKUP($L$4&amp;"_"&amp;$A17, Khung_KeHoach_Chuan!$A$11:$J$91, 8, FALSE)</f>
        <v>2026-09-02</v>
      </c>
      <c r="H17" s="14" t="str">
        <f>VLOOKUP($L$4&amp;"_"&amp;$A17, Khung_KeHoach_Chuan!$A$11:$J$91, 9, FALSE)</f>
        <v>Bảng khảo sát Related Work + So sánh giải pháp SDN/SD-WAN hiện có</v>
      </c>
      <c r="I17" s="15" t="s">
        <v>517</v>
      </c>
      <c r="J17" s="14"/>
    </row>
    <row r="18" spans="1:10" ht="28.5">
      <c r="A18" s="9">
        <v>3</v>
      </c>
      <c r="B18" s="10" t="str">
        <f>VLOOKUP($L$4&amp;"_"&amp;$A18, Khung_KeHoach_Chuan!$A$11:$J$91, 4, FALSE)</f>
        <v>I. ĐỊNH HƯỚNG &amp; PHƯƠNG PHÁP LUẬN</v>
      </c>
      <c r="C18" s="17" t="str">
        <f>VLOOKUP($L$4&amp;"_"&amp;$A18, Khung_KeHoach_Chuan!$A$11:$J$91, 5, FALSE)</f>
        <v>Chọn SDN controller, công cụ mô phỏng &amp; kiến trúc hệ thống</v>
      </c>
      <c r="D18" s="33" t="str">
        <f>VLOOKUP($L$4&amp;"_"&amp;$A18, Khung_KeHoach_Chuan!$A$11:$J$91, 6, FALSE)</f>
        <v>Controller (ONOS/Ryu/OpenDaylight), công cụ mô phỏng (Mininet/Containerlab/GNS3), giao thức điều khiển</v>
      </c>
      <c r="E18" s="35"/>
      <c r="F18" s="11" t="str">
        <f>VLOOKUP($L$4&amp;"_"&amp;$A18, Khung_KeHoach_Chuan!$A$11:$J$91, 7, FALSE)</f>
        <v>2026-08-28</v>
      </c>
      <c r="G18" s="11" t="str">
        <f>VLOOKUP($L$4&amp;"_"&amp;$A18, Khung_KeHoach_Chuan!$A$11:$J$91, 8, FALSE)</f>
        <v>2026-09-05</v>
      </c>
      <c r="H18" s="10" t="str">
        <f>VLOOKUP($L$4&amp;"_"&amp;$A18, Khung_KeHoach_Chuan!$A$11:$J$91, 9, FALSE)</f>
        <v>Sơ đồ kiến trúc tổng thể mạng + Tech stack specification</v>
      </c>
      <c r="I18" s="11" t="s">
        <v>517</v>
      </c>
      <c r="J18" s="10"/>
    </row>
    <row r="19" spans="1:10" ht="28.5">
      <c r="A19" s="13">
        <v>4</v>
      </c>
      <c r="B19" s="14" t="str">
        <f>VLOOKUP($L$4&amp;"_"&amp;$A19, Khung_KeHoach_Chuan!$A$11:$J$91, 4, FALSE)</f>
        <v>I. ĐỊNH HƯỚNG &amp; PHƯƠNG PHÁP LUẬN</v>
      </c>
      <c r="C19" s="16" t="str">
        <f>VLOOKUP($L$4&amp;"_"&amp;$A19, Khung_KeHoach_Chuan!$A$11:$J$91, 5, FALSE)</f>
        <v>Lập kế hoạch công việc, phân công &amp; quản trị rủi ro</v>
      </c>
      <c r="D19" s="32" t="str">
        <f>VLOOKUP($L$4&amp;"_"&amp;$A19, Khung_KeHoach_Chuan!$A$11:$J$91, 6, FALSE)</f>
        <v>WBS: dựng testbed, lập trình controller, kiểm thử định tuyến; Git repo &amp; quy ước làm việc</v>
      </c>
      <c r="E19" s="35"/>
      <c r="F19" s="15" t="str">
        <f>VLOOKUP($L$4&amp;"_"&amp;$A19, Khung_KeHoach_Chuan!$A$11:$J$91, 7, FALSE)</f>
        <v>2026-08-30</v>
      </c>
      <c r="G19" s="15" t="str">
        <f>VLOOKUP($L$4&amp;"_"&amp;$A19, Khung_KeHoach_Chuan!$A$11:$J$91, 8, FALSE)</f>
        <v>2026-09-05</v>
      </c>
      <c r="H19" s="14" t="str">
        <f>VLOOKUP($L$4&amp;"_"&amp;$A19, Khung_KeHoach_Chuan!$A$11:$J$91, 9, FALSE)</f>
        <v>WBS Backlog + Git repo setup + Quy ước làm việc</v>
      </c>
      <c r="I19" s="15" t="s">
        <v>517</v>
      </c>
      <c r="J19" s="14"/>
    </row>
    <row r="20" spans="1:10" ht="28.5">
      <c r="A20" s="9">
        <v>5</v>
      </c>
      <c r="B20" s="10" t="str">
        <f>VLOOKUP($L$4&amp;"_"&amp;$A20, Khung_KeHoach_Chuan!$A$11:$J$91, 4, FALSE)</f>
        <v>II. THIẾT KẾ &amp; CHUẨN BỊ</v>
      </c>
      <c r="C20" s="17" t="str">
        <f>VLOOKUP($L$4&amp;"_"&amp;$A20, Khung_KeHoach_Chuan!$A$11:$J$91, 5, FALSE)</f>
        <v>Thiết kế topology mạng thử nghiệm &amp; luồng điều khiển</v>
      </c>
      <c r="D20" s="33" t="str">
        <f>VLOOKUP($L$4&amp;"_"&amp;$A20, Khung_KeHoach_Chuan!$A$11:$J$91, 6, FALSE)</f>
        <v>Sơ đồ topology SDN/SD-WAN, luồng traffic, cơ chế trao đổi control plane - data plane</v>
      </c>
      <c r="E20" s="35"/>
      <c r="F20" s="11" t="str">
        <f>VLOOKUP($L$4&amp;"_"&amp;$A20, Khung_KeHoach_Chuan!$A$11:$J$91, 7, FALSE)</f>
        <v>2026-09-06</v>
      </c>
      <c r="G20" s="11" t="str">
        <f>VLOOKUP($L$4&amp;"_"&amp;$A20, Khung_KeHoach_Chuan!$A$11:$J$91, 8, FALSE)</f>
        <v>2026-09-12</v>
      </c>
      <c r="H20" s="10" t="str">
        <f>VLOOKUP($L$4&amp;"_"&amp;$A20, Khung_KeHoach_Chuan!$A$11:$J$91, 9, FALSE)</f>
        <v>Sơ đồ topology mạng + Thiết kế luồng điều khiển v1</v>
      </c>
      <c r="I20" s="11" t="s">
        <v>517</v>
      </c>
      <c r="J20" s="10"/>
    </row>
    <row r="21" spans="1:10" ht="28.5">
      <c r="A21" s="13">
        <v>6</v>
      </c>
      <c r="B21" s="14" t="str">
        <f>VLOOKUP($L$4&amp;"_"&amp;$A21, Khung_KeHoach_Chuan!$A$11:$J$91, 4, FALSE)</f>
        <v>II. THIẾT KẾ &amp; CHUẨN BỊ</v>
      </c>
      <c r="C21" s="16" t="str">
        <f>VLOOKUP($L$4&amp;"_"&amp;$A21, Khung_KeHoach_Chuan!$A$11:$J$91, 5, FALSE)</f>
        <v>Chuẩn bị testbed, controller &amp; công cụ giám sát mạng</v>
      </c>
      <c r="D21" s="32" t="str">
        <f>VLOOKUP($L$4&amp;"_"&amp;$A21, Khung_KeHoach_Chuan!$A$11:$J$91, 6, FALSE)</f>
        <v>Cài đặt Mininet/Containerlab + controller, công cụ sinh traffic (iperf/hping3), giám sát (Wireshark)</v>
      </c>
      <c r="E21" s="35"/>
      <c r="F21" s="15" t="str">
        <f>VLOOKUP($L$4&amp;"_"&amp;$A21, Khung_KeHoach_Chuan!$A$11:$J$91, 7, FALSE)</f>
        <v>2026-09-06</v>
      </c>
      <c r="G21" s="15" t="str">
        <f>VLOOKUP($L$4&amp;"_"&amp;$A21, Khung_KeHoach_Chuan!$A$11:$J$91, 8, FALSE)</f>
        <v>2026-09-12</v>
      </c>
      <c r="H21" s="14" t="str">
        <f>VLOOKUP($L$4&amp;"_"&amp;$A21, Khung_KeHoach_Chuan!$A$11:$J$91, 9, FALSE)</f>
        <v>Testbed SDN/SD-WAN hoàn chỉnh + Công cụ giám sát</v>
      </c>
      <c r="I21" s="15" t="s">
        <v>517</v>
      </c>
      <c r="J21" s="14"/>
    </row>
    <row r="22" spans="1:10" ht="28.5">
      <c r="A22" s="9">
        <v>7</v>
      </c>
      <c r="B22" s="10" t="str">
        <f>VLOOKUP($L$4&amp;"_"&amp;$A22, Khung_KeHoach_Chuan!$A$11:$J$91, 4, FALSE)</f>
        <v>II. THIẾT KẾ &amp; CHUẨN BỊ</v>
      </c>
      <c r="C22" s="17" t="str">
        <f>VLOOKUP($L$4&amp;"_"&amp;$A22, Khung_KeHoach_Chuan!$A$11:$J$91, 5, FALSE)</f>
        <v>Xây dựng kế hoạch kiểm thử &amp; tiêu chí nghiệm thu</v>
      </c>
      <c r="D22" s="33" t="str">
        <f>VLOOKUP($L$4&amp;"_"&amp;$A22, Khung_KeHoach_Chuan!$A$11:$J$91, 6, FALSE)</f>
        <v>Test plan, kịch bản định tuyến/failover, tiêu chí đánh giá (Latency, Throughput, Packet Loss)</v>
      </c>
      <c r="E22" s="35"/>
      <c r="F22" s="11" t="str">
        <f>VLOOKUP($L$4&amp;"_"&amp;$A22, Khung_KeHoach_Chuan!$A$11:$J$91, 7, FALSE)</f>
        <v>2026-09-13</v>
      </c>
      <c r="G22" s="11" t="str">
        <f>VLOOKUP($L$4&amp;"_"&amp;$A22, Khung_KeHoach_Chuan!$A$11:$J$91, 8, FALSE)</f>
        <v>2026-09-19</v>
      </c>
      <c r="H22" s="10" t="str">
        <f>VLOOKUP($L$4&amp;"_"&amp;$A22, Khung_KeHoach_Chuan!$A$11:$J$91, 9, FALSE)</f>
        <v>Test plan + Bộ tiêu chí đánh giá + Baseline metrics</v>
      </c>
      <c r="I22" s="11" t="s">
        <v>517</v>
      </c>
      <c r="J22" s="10"/>
    </row>
    <row r="23" spans="1:10" ht="28.5">
      <c r="A23" s="13">
        <v>8</v>
      </c>
      <c r="B23" s="14" t="str">
        <f>VLOOKUP($L$4&amp;"_"&amp;$A23, Khung_KeHoach_Chuan!$A$11:$J$91, 4, FALSE)</f>
        <v>II. THIẾT KẾ &amp; CHUẨN BỊ</v>
      </c>
      <c r="C23" s="16" t="str">
        <f>VLOOKUP($L$4&amp;"_"&amp;$A23, Khung_KeHoach_Chuan!$A$11:$J$91, 5, FALSE)</f>
        <v>Làm Proof of Concept (PoC): điều khiển định tuyến cơ bản qua controller</v>
      </c>
      <c r="D23" s="32" t="str">
        <f>VLOOKUP($L$4&amp;"_"&amp;$A23, Khung_KeHoach_Chuan!$A$11:$J$91, 6, FALSE)</f>
        <v>Cấu hình flow rules cơ bản, kiểm tra khả năng điều khiển luồng traffic qua controller</v>
      </c>
      <c r="E23" s="35"/>
      <c r="F23" s="15" t="str">
        <f>VLOOKUP($L$4&amp;"_"&amp;$A23, Khung_KeHoach_Chuan!$A$11:$J$91, 7, FALSE)</f>
        <v>2026-09-13</v>
      </c>
      <c r="G23" s="15" t="str">
        <f>VLOOKUP($L$4&amp;"_"&amp;$A23, Khung_KeHoach_Chuan!$A$11:$J$91, 8, FALSE)</f>
        <v>2026-09-19</v>
      </c>
      <c r="H23" s="14" t="str">
        <f>VLOOKUP($L$4&amp;"_"&amp;$A23, Khung_KeHoach_Chuan!$A$11:$J$91, 9, FALSE)</f>
        <v>Bản demo PoC điều khiển SDN chạy được + Báo cáo rủi ro kỹ thuật</v>
      </c>
      <c r="I23" s="15" t="s">
        <v>517</v>
      </c>
      <c r="J23" s="14"/>
    </row>
    <row r="24" spans="1:10" ht="28.5">
      <c r="A24" s="9">
        <v>9</v>
      </c>
      <c r="B24" s="10" t="str">
        <f>VLOOKUP($L$4&amp;"_"&amp;$A24, Khung_KeHoach_Chuan!$A$11:$J$91, 4, FALSE)</f>
        <v>III. TRIỂN KHAI / THỰC NGHIỆM</v>
      </c>
      <c r="C24" s="17" t="str">
        <f>VLOOKUP($L$4&amp;"_"&amp;$A24, Khung_KeHoach_Chuan!$A$11:$J$91, 5, FALSE)</f>
        <v>Xây dựng phiên bản MVP: hệ thống SDN/SD-WAN vận hành cơ bản</v>
      </c>
      <c r="D24" s="33" t="str">
        <f>VLOOKUP($L$4&amp;"_"&amp;$A24, Khung_KeHoach_Chuan!$A$11:$J$91, 6, FALSE)</f>
        <v>Hoàn thành luồng điều khiển - định tuyến - giám sát cơ bản trên toàn bộ topology</v>
      </c>
      <c r="E24" s="35"/>
      <c r="F24" s="11" t="str">
        <f>VLOOKUP($L$4&amp;"_"&amp;$A24, Khung_KeHoach_Chuan!$A$11:$J$91, 7, FALSE)</f>
        <v>2026-09-20</v>
      </c>
      <c r="G24" s="11" t="str">
        <f>VLOOKUP($L$4&amp;"_"&amp;$A24, Khung_KeHoach_Chuan!$A$11:$J$91, 8, FALSE)</f>
        <v>2026-09-26</v>
      </c>
      <c r="H24" s="10" t="str">
        <f>VLOOKUP($L$4&amp;"_"&amp;$A24, Khung_KeHoach_Chuan!$A$11:$J$91, 9, FALSE)</f>
        <v>Bản MVP: hệ thống SDN/SD-WAN chạy thông luồng cơ bản</v>
      </c>
      <c r="I24" s="11" t="s">
        <v>517</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tr">
        <f>VLOOKUP($L$4&amp;"_"&amp;$A25, Khung_KeHoach_Chuan!$A$11:$J$91, 6, FALSE)</f>
        <v>Tổng hợp tiến độ thực hiện, nộp phiếu theo dõi có chữ ký GVHD</v>
      </c>
      <c r="E25" s="35"/>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518</v>
      </c>
      <c r="J25" s="21"/>
    </row>
    <row r="26" spans="1:10" ht="28.5">
      <c r="A26" s="9">
        <v>11</v>
      </c>
      <c r="B26" s="10" t="str">
        <f>VLOOKUP($L$4&amp;"_"&amp;$A26, Khung_KeHoach_Chuan!$A$11:$J$91, 4, FALSE)</f>
        <v>III. TRIỂN KHAI / THỰC NGHIỆM</v>
      </c>
      <c r="C26" s="17" t="str">
        <f>VLOOKUP($L$4&amp;"_"&amp;$A26, Khung_KeHoach_Chuan!$A$11:$J$91, 5, FALSE)</f>
        <v>Phát triển hoàn thiện module định tuyến &amp; chính sách điều khiển</v>
      </c>
      <c r="D26" s="33" t="str">
        <f>VLOOKUP($L$4&amp;"_"&amp;$A26, Khung_KeHoach_Chuan!$A$11:$J$91, 6, FALSE)</f>
        <v>Lập trình logic định tuyến động, chính sách QoS/ưu tiên traffic, xử lý sự kiện mạng</v>
      </c>
      <c r="E26" s="35"/>
      <c r="F26" s="11" t="str">
        <f>VLOOKUP($L$4&amp;"_"&amp;$A26, Khung_KeHoach_Chuan!$A$11:$J$91, 7, FALSE)</f>
        <v>2026-10-05</v>
      </c>
      <c r="G26" s="11" t="str">
        <f>VLOOKUP($L$4&amp;"_"&amp;$A26, Khung_KeHoach_Chuan!$A$11:$J$91, 8, FALSE)</f>
        <v>2026-10-18</v>
      </c>
      <c r="H26" s="10" t="str">
        <f>VLOOKUP($L$4&amp;"_"&amp;$A26, Khung_KeHoach_Chuan!$A$11:$J$91, 9, FALSE)</f>
        <v>Module định tuyến &amp; chính sách điều khiển hoàn chỉnh trên Git</v>
      </c>
      <c r="I26" s="11" t="s">
        <v>517</v>
      </c>
      <c r="J26" s="10"/>
    </row>
    <row r="27" spans="1:10" ht="28.5">
      <c r="A27" s="13">
        <v>12</v>
      </c>
      <c r="B27" s="14" t="str">
        <f>VLOOKUP($L$4&amp;"_"&amp;$A27, Khung_KeHoach_Chuan!$A$11:$J$91, 4, FALSE)</f>
        <v>III. TRIỂN KHAI / THỰC NGHIỆM</v>
      </c>
      <c r="C27" s="16" t="str">
        <f>VLOOKUP($L$4&amp;"_"&amp;$A27, Khung_KeHoach_Chuan!$A$11:$J$91, 5, FALSE)</f>
        <v>Tích hợp toàn bộ hệ thống &amp; đồng bộ cấu hình mạng</v>
      </c>
      <c r="D27" s="32" t="str">
        <f>VLOOKUP($L$4&amp;"_"&amp;$A27, Khung_KeHoach_Chuan!$A$11:$J$91, 6, FALSE)</f>
        <v>Kết nối controller-switch-orchestrator, đồng bộ cấu hình giữa các site SD-WAN</v>
      </c>
      <c r="E27" s="35"/>
      <c r="F27" s="15" t="str">
        <f>VLOOKUP($L$4&amp;"_"&amp;$A27, Khung_KeHoach_Chuan!$A$11:$J$91, 7, FALSE)</f>
        <v>2026-10-19</v>
      </c>
      <c r="G27" s="15" t="str">
        <f>VLOOKUP($L$4&amp;"_"&amp;$A27, Khung_KeHoach_Chuan!$A$11:$J$91, 8, FALSE)</f>
        <v>2026-10-25</v>
      </c>
      <c r="H27" s="14" t="str">
        <f>VLOOKUP($L$4&amp;"_"&amp;$A27, Khung_KeHoach_Chuan!$A$11:$J$91, 9, FALSE)</f>
        <v>Hệ thống tích hợp hoàn chỉnh (Full System Build)</v>
      </c>
      <c r="I27" s="15" t="s">
        <v>517</v>
      </c>
      <c r="J27" s="14"/>
    </row>
    <row r="28" spans="1:10" ht="28.5">
      <c r="A28" s="9">
        <v>13</v>
      </c>
      <c r="B28" s="10" t="str">
        <f>VLOOKUP($L$4&amp;"_"&amp;$A28, Khung_KeHoach_Chuan!$A$11:$J$91, 4, FALSE)</f>
        <v>III. TRIỂN KHAI / THỰC NGHIỆM</v>
      </c>
      <c r="C28" s="17" t="str">
        <f>VLOOKUP($L$4&amp;"_"&amp;$A28, Khung_KeHoach_Chuan!$A$11:$J$91, 5, FALSE)</f>
        <v>Duy trì Technical Log, Commit history &amp; Bằng chứng</v>
      </c>
      <c r="D28" s="33" t="str">
        <f>VLOOKUP($L$4&amp;"_"&amp;$A28, Khung_KeHoach_Chuan!$A$11:$J$91, 6, FALSE)</f>
        <v>Ghi log cấu hình controller, thay đổi flow rules, biên bản họp định kỳ với GVHD</v>
      </c>
      <c r="E28" s="35"/>
      <c r="F28" s="11" t="str">
        <f>VLOOKUP($L$4&amp;"_"&amp;$A28, Khung_KeHoach_Chuan!$A$11:$J$91, 7, FALSE)</f>
        <v>2026-09-20</v>
      </c>
      <c r="G28" s="11" t="str">
        <f>VLOOKUP($L$4&amp;"_"&amp;$A28, Khung_KeHoach_Chuan!$A$11:$J$91, 8, FALSE)</f>
        <v>2026-10-31</v>
      </c>
      <c r="H28" s="10" t="str">
        <f>VLOOKUP($L$4&amp;"_"&amp;$A28, Khung_KeHoach_Chuan!$A$11:$J$91, 9, FALSE)</f>
        <v>Thư mục Evidence + Git commit log chuẩn quy cách</v>
      </c>
      <c r="I28" s="11" t="s">
        <v>517</v>
      </c>
      <c r="J28" s="10"/>
    </row>
    <row r="29" spans="1:10" ht="28.5">
      <c r="A29" s="13">
        <v>14</v>
      </c>
      <c r="B29" s="14" t="str">
        <f>VLOOKUP($L$4&amp;"_"&amp;$A29, Khung_KeHoach_Chuan!$A$11:$J$91, 4, FALSE)</f>
        <v>IV. KIỂM THỬ &amp; ĐÁNH GIÁ</v>
      </c>
      <c r="C29" s="16" t="str">
        <f>VLOOKUP($L$4&amp;"_"&amp;$A29, Khung_KeHoach_Chuan!$A$11:$J$91, 5, FALSE)</f>
        <v>Thực thi kiểm thử chức năng hệ thống SDN/SD-WAN</v>
      </c>
      <c r="D29" s="32" t="str">
        <f>VLOOKUP($L$4&amp;"_"&amp;$A29, Khung_KeHoach_Chuan!$A$11:$J$91, 6, FALSE)</f>
        <v>Kiểm tra định tuyến, failover, chính sách QoS, khả năng phản hồi controller</v>
      </c>
      <c r="E29" s="35"/>
      <c r="F29" s="15" t="str">
        <f>VLOOKUP($L$4&amp;"_"&amp;$A29, Khung_KeHoach_Chuan!$A$11:$J$91, 7, FALSE)</f>
        <v>2026-10-26</v>
      </c>
      <c r="G29" s="15" t="str">
        <f>VLOOKUP($L$4&amp;"_"&amp;$A29, Khung_KeHoach_Chuan!$A$11:$J$91, 8, FALSE)</f>
        <v>2026-11-01</v>
      </c>
      <c r="H29" s="14" t="str">
        <f>VLOOKUP($L$4&amp;"_"&amp;$A29, Khung_KeHoach_Chuan!$A$11:$J$91, 9, FALSE)</f>
        <v>Bảng kết quả test chi tiết + Danh sách lỗi đã xử lý</v>
      </c>
      <c r="I29" s="15" t="s">
        <v>517</v>
      </c>
      <c r="J29" s="14"/>
    </row>
    <row r="30" spans="1:10" ht="28.5">
      <c r="A30" s="9">
        <v>15</v>
      </c>
      <c r="B30" s="10" t="str">
        <f>VLOOKUP($L$4&amp;"_"&amp;$A30, Khung_KeHoach_Chuan!$A$11:$J$91, 4, FALSE)</f>
        <v>IV. KIỂM THỬ &amp; ĐÁNH GIÁ</v>
      </c>
      <c r="C30" s="17" t="str">
        <f>VLOOKUP($L$4&amp;"_"&amp;$A30, Khung_KeHoach_Chuan!$A$11:$J$91, 5, FALSE)</f>
        <v>Kiểm thử hiệu năng, độ trễ &amp; khả năng mở rộng hệ thống</v>
      </c>
      <c r="D30" s="33" t="str">
        <f>VLOOKUP($L$4&amp;"_"&amp;$A30, Khung_KeHoach_Chuan!$A$11:$J$91, 6, FALSE)</f>
        <v>Đo độ trễ xử lý (latency), thông lượng (throughput), khả năng chịu tải</v>
      </c>
      <c r="E30" s="35"/>
      <c r="F30" s="11" t="str">
        <f>VLOOKUP($L$4&amp;"_"&amp;$A30, Khung_KeHoach_Chuan!$A$11:$J$91, 7, FALSE)</f>
        <v>2026-11-02</v>
      </c>
      <c r="G30" s="11" t="str">
        <f>VLOOKUP($L$4&amp;"_"&amp;$A30, Khung_KeHoach_Chuan!$A$11:$J$91, 8, FALSE)</f>
        <v>2026-11-08</v>
      </c>
      <c r="H30" s="10" t="str">
        <f>VLOOKUP($L$4&amp;"_"&amp;$A30, Khung_KeHoach_Chuan!$A$11:$J$91, 9, FALSE)</f>
        <v>Báo cáo Performance &amp; Scalability testing</v>
      </c>
      <c r="I30" s="11" t="s">
        <v>517</v>
      </c>
      <c r="J30" s="10"/>
    </row>
    <row r="31" spans="1:10" ht="28.5">
      <c r="A31" s="13">
        <v>16</v>
      </c>
      <c r="B31" s="14" t="str">
        <f>VLOOKUP($L$4&amp;"_"&amp;$A31, Khung_KeHoach_Chuan!$A$11:$J$91, 4, FALSE)</f>
        <v>IV. KIỂM THỬ &amp; ĐÁNH GIÁ</v>
      </c>
      <c r="C31" s="16" t="str">
        <f>VLOOKUP($L$4&amp;"_"&amp;$A31, Khung_KeHoach_Chuan!$A$11:$J$91, 5, FALSE)</f>
        <v>Tổng hợp số liệu thực nghiệm &amp; biểu đồ đánh giá hệ thống</v>
      </c>
      <c r="D31" s="32" t="str">
        <f>VLOOKUP($L$4&amp;"_"&amp;$A31, Khung_KeHoach_Chuan!$A$11:$J$91, 6, FALSE)</f>
        <v>Độ trễ định tuyến, thông lượng, tỷ lệ mất gói, so sánh trước/sau khi áp dụng SDN</v>
      </c>
      <c r="E31" s="35"/>
      <c r="F31" s="15" t="str">
        <f>VLOOKUP($L$4&amp;"_"&amp;$A31, Khung_KeHoach_Chuan!$A$11:$J$91, 7, FALSE)</f>
        <v>2026-11-09</v>
      </c>
      <c r="G31" s="15" t="str">
        <f>VLOOKUP($L$4&amp;"_"&amp;$A31, Khung_KeHoach_Chuan!$A$11:$J$91, 8, FALSE)</f>
        <v>2026-11-15</v>
      </c>
      <c r="H31" s="14" t="str">
        <f>VLOOKUP($L$4&amp;"_"&amp;$A31, Khung_KeHoach_Chuan!$A$11:$J$91, 9, FALSE)</f>
        <v>Bộ biểu đồ kết quả + Bảng so sánh hiệu quả mạng truyền thống và SDN</v>
      </c>
      <c r="I31" s="15" t="s">
        <v>517</v>
      </c>
      <c r="J31" s="14"/>
    </row>
    <row r="32" spans="1:10">
      <c r="A32" s="9">
        <v>17</v>
      </c>
      <c r="B32" s="10" t="str">
        <f>VLOOKUP($L$4&amp;"_"&amp;$A32, Khung_KeHoach_Chuan!$A$11:$J$91, 4, FALSE)</f>
        <v>IV. KIỂM THỬ &amp; ĐÁNH GIÁ</v>
      </c>
      <c r="C32" s="17" t="str">
        <f>VLOOKUP($L$4&amp;"_"&amp;$A32, Khung_KeHoach_Chuan!$A$11:$J$91, 5, FALSE)</f>
        <v>Đánh giá đạt mục tiêu &amp; ghi nhận hạn chế</v>
      </c>
      <c r="D32" s="33" t="str">
        <f>VLOOKUP($L$4&amp;"_"&amp;$A32, Khung_KeHoach_Chuan!$A$11:$J$91, 6, FALSE)</f>
        <v>Đối chiếu mục tiêu ban đầu, chỉ ra hạn chế &amp; đề xuất hướng cải tiến</v>
      </c>
      <c r="E32" s="35"/>
      <c r="F32" s="11" t="str">
        <f>VLOOKUP($L$4&amp;"_"&amp;$A32, Khung_KeHoach_Chuan!$A$11:$J$91, 7, FALSE)</f>
        <v>2026-11-12</v>
      </c>
      <c r="G32" s="11" t="str">
        <f>VLOOKUP($L$4&amp;"_"&amp;$A32, Khung_KeHoach_Chuan!$A$11:$J$91, 8, FALSE)</f>
        <v>2026-11-18</v>
      </c>
      <c r="H32" s="10" t="str">
        <f>VLOOKUP($L$4&amp;"_"&amp;$A32, Khung_KeHoach_Chuan!$A$11:$J$91, 9, FALSE)</f>
        <v>Bảng đối chiếu mục tiêu - kết quả đạt được</v>
      </c>
      <c r="I32" s="11" t="s">
        <v>517</v>
      </c>
      <c r="J32" s="10"/>
    </row>
    <row r="33" spans="1:10" ht="28.5">
      <c r="A33" s="13">
        <v>18</v>
      </c>
      <c r="B33" s="14" t="str">
        <f>VLOOKUP($L$4&amp;"_"&amp;$A33, Khung_KeHoach_Chuan!$A$11:$J$91, 4, FALSE)</f>
        <v>V. VIẾT &amp; HOÀN THIỆN BÁO CÁO</v>
      </c>
      <c r="C33" s="16" t="str">
        <f>VLOOKUP($L$4&amp;"_"&amp;$A33, Khung_KeHoach_Chuan!$A$11:$J$91, 5, FALSE)</f>
        <v>Xây dựng dàn ý &amp; viết chương mở đầu, cơ sở lý thuyết</v>
      </c>
      <c r="D33" s="32" t="str">
        <f>VLOOKUP($L$4&amp;"_"&amp;$A33, Khung_KeHoach_Chuan!$A$11:$J$91, 6, FALSE)</f>
        <v>Tổng quan SDN/SD-WAN, cơ sở lý thuyết định tuyến/điều khiển mạng, phát biểu bài toán</v>
      </c>
      <c r="E33" s="35"/>
      <c r="F33" s="15" t="str">
        <f>VLOOKUP($L$4&amp;"_"&amp;$A33, Khung_KeHoach_Chuan!$A$11:$J$91, 7, FALSE)</f>
        <v>2026-10-26</v>
      </c>
      <c r="G33" s="15" t="str">
        <f>VLOOKUP($L$4&amp;"_"&amp;$A33, Khung_KeHoach_Chuan!$A$11:$J$91, 8, FALSE)</f>
        <v>2026-11-08</v>
      </c>
      <c r="H33" s="14" t="str">
        <f>VLOOKUP($L$4&amp;"_"&amp;$A33, Khung_KeHoach_Chuan!$A$11:$J$91, 9, FALSE)</f>
        <v>Bản thảo Chương 1, 2, 3 hoàn chỉnh</v>
      </c>
      <c r="I33" s="15" t="s">
        <v>517</v>
      </c>
      <c r="J33" s="14"/>
    </row>
    <row r="34" spans="1:10" ht="28.5">
      <c r="A34" s="9">
        <v>19</v>
      </c>
      <c r="B34" s="10" t="str">
        <f>VLOOKUP($L$4&amp;"_"&amp;$A34, Khung_KeHoach_Chuan!$A$11:$J$91, 4, FALSE)</f>
        <v>V. VIẾT &amp; HOÀN THIỆN BÁO CÁO</v>
      </c>
      <c r="C34" s="17" t="str">
        <f>VLOOKUP($L$4&amp;"_"&amp;$A34, Khung_KeHoach_Chuan!$A$11:$J$91, 5, FALSE)</f>
        <v>Viết chương thiết kế hệ thống, triển khai &amp; kết quả thực nghiệm</v>
      </c>
      <c r="D34" s="33" t="str">
        <f>VLOOKUP($L$4&amp;"_"&amp;$A34, Khung_KeHoach_Chuan!$A$11:$J$91, 6, FALSE)</f>
        <v>Kiến trúc mạng, luồng điều khiển, kết quả thực nghiệm, biểu đồ minh họa</v>
      </c>
      <c r="E34" s="35"/>
      <c r="F34" s="11" t="str">
        <f>VLOOKUP($L$4&amp;"_"&amp;$A34, Khung_KeHoach_Chuan!$A$11:$J$91, 7, FALSE)</f>
        <v>2026-11-09</v>
      </c>
      <c r="G34" s="11" t="str">
        <f>VLOOKUP($L$4&amp;"_"&amp;$A34, Khung_KeHoach_Chuan!$A$11:$J$91, 8, FALSE)</f>
        <v>2026-11-18</v>
      </c>
      <c r="H34" s="10" t="str">
        <f>VLOOKUP($L$4&amp;"_"&amp;$A34, Khung_KeHoach_Chuan!$A$11:$J$91, 9, FALSE)</f>
        <v>Bản thảo Chương 4, 5 đầy đủ sơ đồ và số liệu</v>
      </c>
      <c r="I34" s="11" t="s">
        <v>517</v>
      </c>
      <c r="J34" s="10"/>
    </row>
    <row r="35" spans="1:10" ht="28.5">
      <c r="A35" s="13">
        <v>20</v>
      </c>
      <c r="B35" s="14" t="str">
        <f>VLOOKUP($L$4&amp;"_"&amp;$A35, Khung_KeHoach_Chuan!$A$11:$J$91, 4, FALSE)</f>
        <v>V. VIẾT &amp; HOÀN THIỆN BÁO CÁO</v>
      </c>
      <c r="C35" s="16" t="str">
        <f>VLOOKUP($L$4&amp;"_"&amp;$A35, Khung_KeHoach_Chuan!$A$11:$J$91, 5, FALSE)</f>
        <v>Hoàn thiện bản thảo toàn văn (Draft 100%)</v>
      </c>
      <c r="D35" s="32" t="str">
        <f>VLOOKUP($L$4&amp;"_"&amp;$A35, Khung_KeHoach_Chuan!$A$11:$J$91, 6, FALSE)</f>
        <v>Ghép nối toàn bộ nội dung, rà soát nhất quán thuật ngữ SDN/SD-WAN</v>
      </c>
      <c r="E35" s="35"/>
      <c r="F35" s="15" t="str">
        <f>VLOOKUP($L$4&amp;"_"&amp;$A35, Khung_KeHoach_Chuan!$A$11:$J$91, 7, FALSE)</f>
        <v>2026-11-16</v>
      </c>
      <c r="G35" s="15" t="str">
        <f>VLOOKUP($L$4&amp;"_"&amp;$A35, Khung_KeHoach_Chuan!$A$11:$J$91, 8, FALSE)</f>
        <v>2026-11-20</v>
      </c>
      <c r="H35" s="14" t="str">
        <f>VLOOKUP($L$4&amp;"_"&amp;$A35, Khung_KeHoach_Chuan!$A$11:$J$91, 9, FALSE)</f>
        <v>Bản thảo báo cáo toàn văn 100%</v>
      </c>
      <c r="I35" s="15" t="s">
        <v>517</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chỉnh sửa hoàn thiện</v>
      </c>
      <c r="D36" s="33" t="str">
        <f>VLOOKUP($L$4&amp;"_"&amp;$A36, Khung_KeHoach_Chuan!$A$11:$J$91, 6, FALSE)</f>
        <v>GVHD góp ý tính đúng đắn kỹ thuật mạng, chỉnh sửa văn phong</v>
      </c>
      <c r="E36" s="35"/>
      <c r="F36" s="11" t="str">
        <f>VLOOKUP($L$4&amp;"_"&amp;$A36, Khung_KeHoach_Chuan!$A$11:$J$91, 7, FALSE)</f>
        <v>2026-11-18</v>
      </c>
      <c r="G36" s="11" t="str">
        <f>VLOOKUP($L$4&amp;"_"&amp;$A36, Khung_KeHoach_Chuan!$A$11:$J$91, 8, FALSE)</f>
        <v>2026-11-20</v>
      </c>
      <c r="H36" s="10" t="str">
        <f>VLOOKUP($L$4&amp;"_"&amp;$A36, Khung_KeHoach_Chuan!$A$11:$J$91, 9, FALSE)</f>
        <v>Biên bản phản hồi góp ý + Bản sửa lần cuối</v>
      </c>
      <c r="I36" s="11" t="s">
        <v>517</v>
      </c>
      <c r="J36" s="10"/>
    </row>
    <row r="37" spans="1:10">
      <c r="A37" s="19">
        <v>22</v>
      </c>
      <c r="B37" s="21" t="str">
        <f>VLOOKUP($L$4&amp;"_"&amp;$A37, Khung_KeHoach_Chuan!$A$11:$J$91, 4, FALSE)</f>
        <v>V. VIẾT &amp; HOÀN THIỆN BÁO CÁO</v>
      </c>
      <c r="C37" s="31" t="str">
        <f>VLOOKUP($L$4&amp;"_"&amp;$A37, Khung_KeHoach_Chuan!$A$11:$J$91, 5, FALSE)</f>
        <v>CHỐT BÁO CÁO SẠCH (FINAL REPORT)</v>
      </c>
      <c r="D37" s="34" t="str">
        <f>VLOOKUP($L$4&amp;"_"&amp;$A37, Khung_KeHoach_Chuan!$A$11:$J$91, 6, FALSE)</f>
        <v>Khóa nội dung, kiểm tra định dạng chuẩn TDTU, xuất PDF hoàn chỉnh</v>
      </c>
      <c r="E37" s="35"/>
      <c r="F37" s="20" t="str">
        <f>VLOOKUP($L$4&amp;"_"&amp;$A37, Khung_KeHoach_Chuan!$A$11:$J$91, 7, FALSE)</f>
        <v>2026-11-20</v>
      </c>
      <c r="G37" s="20" t="str">
        <f>VLOOKUP($L$4&amp;"_"&amp;$A37, Khung_KeHoach_Chuan!$A$11:$J$91, 8, FALSE)</f>
        <v>2026-11-20</v>
      </c>
      <c r="H37" s="21" t="str">
        <f>VLOOKUP($L$4&amp;"_"&amp;$A37, Khung_KeHoach_Chuan!$A$11:$J$91, 9, FALSE)</f>
        <v>BÁO CÁO SẠCH FINAL READY TO SUBMIT</v>
      </c>
      <c r="I37" s="20" t="s">
        <v>517</v>
      </c>
      <c r="J37" s="21"/>
    </row>
    <row r="38" spans="1:10" ht="28.5">
      <c r="A38" s="19">
        <v>23</v>
      </c>
      <c r="B38" s="21" t="str">
        <f>VLOOKUP($L$4&amp;"_"&amp;$A38, Khung_KeHoach_Chuan!$A$11:$J$91, 4, FALSE)</f>
        <v>VI. ĐÓNG GÓI, BÁO CÁO &amp; ĐÁNH GIÁ RUBRIC</v>
      </c>
      <c r="C38" s="31" t="str">
        <f>VLOOKUP($L$4&amp;"_"&amp;$A38, Khung_KeHoach_Chuan!$A$11:$J$91, 5, FALSE)</f>
        <v>NỘP BÁO CÁO CUỐI KỲ (TURNITIN + ELIT)</v>
      </c>
      <c r="D38" s="34" t="str">
        <f>VLOOKUP($L$4&amp;"_"&amp;$A38, Khung_KeHoach_Chuan!$A$11:$J$91, 6, FALSE)</f>
        <v>Nộp file check đạo văn Turnitin + nộp hệ thống ELIT theo quy định Khoa</v>
      </c>
      <c r="E38" s="35"/>
      <c r="F38" s="20" t="str">
        <f>VLOOKUP($L$4&amp;"_"&amp;$A38, Khung_KeHoach_Chuan!$A$11:$J$91, 7, FALSE)</f>
        <v>2026-11-24</v>
      </c>
      <c r="G38" s="20" t="str">
        <f>VLOOKUP($L$4&amp;"_"&amp;$A38, Khung_KeHoach_Chuan!$A$11:$J$91, 8, FALSE)</f>
        <v>2026-12-04</v>
      </c>
      <c r="H38" s="21" t="str">
        <f>VLOOKUP($L$4&amp;"_"&amp;$A38, Khung_KeHoach_Chuan!$A$11:$J$91, 9, FALSE)</f>
        <v>Xác nhận nộp bài thành công trên ELIT &amp; Turnitin</v>
      </c>
      <c r="I38" s="20" t="s">
        <v>518</v>
      </c>
      <c r="J38" s="21"/>
    </row>
    <row r="39" spans="1:10" ht="28.5">
      <c r="A39" s="13">
        <v>24</v>
      </c>
      <c r="B39" s="14" t="str">
        <f>VLOOKUP($L$4&amp;"_"&amp;$A39, Khung_KeHoach_Chuan!$A$11:$J$91, 4, FALSE)</f>
        <v>VI. ĐÓNG GÓI, BÁO CÁO &amp; ĐÁNH GIÁ RUBRIC</v>
      </c>
      <c r="C39" s="16" t="str">
        <f>VLOOKUP($L$4&amp;"_"&amp;$A39, Khung_KeHoach_Chuan!$A$11:$J$91, 5, FALSE)</f>
        <v>Đóng gói mã nguồn, Demo package, Slide thuyết trình</v>
      </c>
      <c r="D39" s="32" t="str">
        <f>VLOOKUP($L$4&amp;"_"&amp;$A39, Khung_KeHoach_Chuan!$A$11:$J$91, 6, FALSE)</f>
        <v>Video demo hệ thống SDN/SD-WAN vận hành thực tế, source code sạch, slide</v>
      </c>
      <c r="E39" s="35"/>
      <c r="F39" s="15" t="str">
        <f>VLOOKUP($L$4&amp;"_"&amp;$A39, Khung_KeHoach_Chuan!$A$11:$J$91, 7, FALSE)</f>
        <v>2026-12-05</v>
      </c>
      <c r="G39" s="15" t="str">
        <f>VLOOKUP($L$4&amp;"_"&amp;$A39, Khung_KeHoach_Chuan!$A$11:$J$91, 8, FALSE)</f>
        <v>2026-12-15</v>
      </c>
      <c r="H39" s="14" t="str">
        <f>VLOOKUP($L$4&amp;"_"&amp;$A39, Khung_KeHoach_Chuan!$A$11:$J$91, 9, FALSE)</f>
        <v>Slide báo cáo + Source code package sạch</v>
      </c>
      <c r="I39" s="15" t="s">
        <v>518</v>
      </c>
      <c r="J39" s="14"/>
    </row>
    <row r="40" spans="1:10" ht="28.5">
      <c r="A40" s="9">
        <v>25</v>
      </c>
      <c r="B40" s="10" t="str">
        <f>VLOOKUP($L$4&amp;"_"&amp;$A40, Khung_KeHoach_Chuan!$A$11:$J$91, 4, FALSE)</f>
        <v>VI. ĐÓNG GÓI, BÁO CÁO &amp; ĐÁNH GIÁ RUBRIC</v>
      </c>
      <c r="C40" s="17" t="str">
        <f>VLOOKUP($L$4&amp;"_"&amp;$A40, Khung_KeHoach_Chuan!$A$11:$J$91, 5, FALSE)</f>
        <v>GVHD xác nhận duyệt cho sinh viên ra phản biện</v>
      </c>
      <c r="D40" s="33" t="str">
        <f>VLOOKUP($L$4&amp;"_"&amp;$A40, Khung_KeHoach_Chuan!$A$11:$J$91, 6, FALSE)</f>
        <v>ThS. Lê Viết Thanh xác nhận duyệt đủ điều kiện báo cáo với GVPB</v>
      </c>
      <c r="E40" s="35"/>
      <c r="F40" s="11" t="str">
        <f>VLOOKUP($L$4&amp;"_"&amp;$A40, Khung_KeHoach_Chuan!$A$11:$J$91, 7, FALSE)</f>
        <v>2026-11-29</v>
      </c>
      <c r="G40" s="11" t="str">
        <f>VLOOKUP($L$4&amp;"_"&amp;$A40, Khung_KeHoach_Chuan!$A$11:$J$91, 8, FALSE)</f>
        <v>2026-12-04</v>
      </c>
      <c r="H40" s="10" t="str">
        <f>VLOOKUP($L$4&amp;"_"&amp;$A40, Khung_KeHoach_Chuan!$A$11:$J$91, 9, FALSE)</f>
        <v>Xác nhận của GVHD trên hệ thống</v>
      </c>
      <c r="I40" s="11" t="s">
        <v>518</v>
      </c>
      <c r="J40" s="10"/>
    </row>
    <row r="41" spans="1:10" ht="28.5">
      <c r="A41" s="13">
        <v>26</v>
      </c>
      <c r="B41" s="14" t="str">
        <f>VLOOKUP($L$4&amp;"_"&amp;$A41, Khung_KeHoach_Chuan!$A$11:$J$91, 4, FALSE)</f>
        <v>VI. ĐÓNG GÓI, BÁO CÁO &amp; ĐÁNH GIÁ RUBRIC</v>
      </c>
      <c r="C41" s="16" t="str">
        <f>VLOOKUP($L$4&amp;"_"&amp;$A41, Khung_KeHoach_Chuan!$A$11:$J$91, 5, FALSE)</f>
        <v>Tập dượt thuyết trình &amp; Chuẩn bị câu hỏi phản biện</v>
      </c>
      <c r="D41" s="32" t="str">
        <f>VLOOKUP($L$4&amp;"_"&amp;$A41, Khung_KeHoach_Chuan!$A$11:$J$91, 6, FALSE)</f>
        <v>Trả lời câu hỏi về lựa chọn kiến trúc SDN/SD-WAN, thuật toán định tuyến, kết quả thực nghiệm</v>
      </c>
      <c r="E41" s="35"/>
      <c r="F41" s="15" t="str">
        <f>VLOOKUP($L$4&amp;"_"&amp;$A41, Khung_KeHoach_Chuan!$A$11:$J$91, 7, FALSE)</f>
        <v>2026-12-18</v>
      </c>
      <c r="G41" s="15" t="str">
        <f>VLOOKUP($L$4&amp;"_"&amp;$A41, Khung_KeHoach_Chuan!$A$11:$J$91, 8, FALSE)</f>
        <v>2026-12-25</v>
      </c>
      <c r="H41" s="14" t="str">
        <f>VLOOKUP($L$4&amp;"_"&amp;$A41, Khung_KeHoach_Chuan!$A$11:$J$91, 9, FALSE)</f>
        <v>Bộ câu hỏi Q&amp;A + Kịch bản demo trơn tru</v>
      </c>
      <c r="I41" s="15" t="s">
        <v>518</v>
      </c>
      <c r="J41" s="14"/>
    </row>
    <row r="42" spans="1:10" ht="28.5">
      <c r="A42" s="19">
        <v>27</v>
      </c>
      <c r="B42" s="21" t="str">
        <f>VLOOKUP($L$4&amp;"_"&amp;$A42, Khung_KeHoach_Chuan!$A$11:$J$91, 4, FALSE)</f>
        <v>VI. ĐÓNG GÓI, BÁO CÁO &amp; ĐÁNH GIÁ RUBRIC</v>
      </c>
      <c r="C42" s="31" t="str">
        <f>VLOOKUP($L$4&amp;"_"&amp;$A42, Khung_KeHoach_Chuan!$A$11:$J$91, 5, FALSE)</f>
        <v>BÁO CÁO VỚI GVPB &amp; NHẬP ĐIỂM RUBRIC</v>
      </c>
      <c r="D42" s="34" t="str">
        <f>VLOOKUP($L$4&amp;"_"&amp;$A42, Khung_KeHoach_Chuan!$A$11:$J$91, 6, FALSE)</f>
        <v>Báo cáo trực tiếp với GVPB; GVPB và GVHD thống nhất điểm trên Rubric</v>
      </c>
      <c r="E42" s="35"/>
      <c r="F42" s="20" t="str">
        <f>VLOOKUP($L$4&amp;"_"&amp;$A42, Khung_KeHoach_Chuan!$A$11:$J$91, 7, FALSE)</f>
        <v>2026-12-26</v>
      </c>
      <c r="G42" s="20" t="str">
        <f>VLOOKUP($L$4&amp;"_"&amp;$A42, Khung_KeHoach_Chuan!$A$11:$J$91, 8, FALSE)</f>
        <v>2026-12-31</v>
      </c>
      <c r="H42" s="21" t="str">
        <f>VLOOKUP($L$4&amp;"_"&amp;$A42, Khung_KeHoach_Chuan!$A$11:$J$91, 9, FALSE)</f>
        <v>Hoàn thành bảo vệ &amp; Điểm số Rubric chính thức</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300-000000000000}">
      <formula1>"Dự án CNTT,Đồ án tốt nghiệp,Khóa luận tốt nghiệp,Dự án + Đồ án,Dự án + Khóa luận"</formula1>
    </dataValidation>
    <dataValidation type="list" allowBlank="1" sqref="I16:I42" xr:uid="{00000000-0002-0000-0300-000001000000}">
      <formula1>"Chưa bắt đầu,Đang thực hiện,Hoàn thành,Tạm hoãn - Bị chặn"</formula1>
    </dataValidation>
    <dataValidation type="list" allowBlank="1" showInputMessage="1" showErrorMessage="1" sqref="C10" xr:uid="{EB9B831F-4116-4237-AE79-C32A2DE3215F}">
      <formula1>"Dự án CNTT,Đồ án tốt nghiệp,Khóa luận tốt nghiệp"</formula1>
    </dataValidation>
    <dataValidation type="list" allowBlank="1" showInputMessage="1" showErrorMessage="1" sqref="I45:I71" xr:uid="{6FE9B456-2525-4693-A32D-9BD9B0642813}">
      <formula1>"Chưa bắt đầu,Đang thực hiện,Hoàn thành,Tạm hoãn - Bị chặn"</formula1>
    </dataValidation>
  </dataValidations>
  <hyperlinks>
    <hyperlink ref="C7" r:id="rId1" xr:uid="{1391FF65-E2DC-4717-8DA6-2FF7CB9F0352}"/>
    <hyperlink ref="G7" r:id="rId2" xr:uid="{FC55768E-C3E7-47AF-A4E1-2E80A5FB2078}"/>
  </hyperlinks>
  <pageMargins left="0.75" right="0.75" top="1" bottom="1" header="0" footer="0"/>
  <pageSetup orientation="landscape"/>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topLeftCell="E16" workbookViewId="0">
      <selection activeCell="D24" sqref="D24"/>
    </sheetView>
  </sheetViews>
  <sheetFormatPr defaultColWidth="14.42578125" defaultRowHeight="15" customHeight="1"/>
  <cols>
    <col min="1" max="1" width="16.85546875" customWidth="1"/>
    <col min="2" max="2" width="28.85546875" customWidth="1"/>
    <col min="3" max="3" width="38.42578125" customWidth="1"/>
    <col min="4" max="4" width="57.5703125" customWidth="1"/>
    <col min="5" max="5" width="81.5703125" customWidth="1"/>
    <col min="6" max="6" width="15.7109375" customWidth="1"/>
    <col min="7" max="7" width="24.5703125" customWidth="1"/>
    <col min="8" max="8" width="42" customWidth="1"/>
    <col min="9" max="9" width="21.7109375" customWidth="1"/>
    <col min="10" max="10" width="36" customWidth="1"/>
    <col min="11" max="27" width="8.7109375" customWidth="1"/>
  </cols>
  <sheetData>
    <row r="1" spans="1:12" ht="18">
      <c r="A1" s="83" t="s">
        <v>520</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45</v>
      </c>
      <c r="D4" s="1"/>
      <c r="E4" s="1"/>
      <c r="F4" s="22" t="s">
        <v>488</v>
      </c>
      <c r="G4" s="24" t="s">
        <v>489</v>
      </c>
      <c r="H4" s="1"/>
      <c r="I4" s="1"/>
      <c r="J4" s="38"/>
      <c r="L4" s="37" t="str">
        <f>IF(OR($C$4="Dự án + Đồ án",$C$4="Dự án + Khóa luận"),"Dự án CNTT",$C$4)</f>
        <v>Dự án CNTT</v>
      </c>
    </row>
    <row r="5" spans="1:12" ht="50.25" customHeight="1">
      <c r="A5" s="17" t="s">
        <v>490</v>
      </c>
      <c r="B5" s="1"/>
      <c r="C5" s="92" t="s">
        <v>521</v>
      </c>
      <c r="D5" s="93"/>
      <c r="E5" s="93"/>
      <c r="F5" s="93"/>
      <c r="G5" s="93"/>
      <c r="H5" s="93"/>
      <c r="I5" s="94"/>
      <c r="J5" s="38"/>
    </row>
    <row r="6" spans="1:12" ht="28.5">
      <c r="A6" s="22" t="s">
        <v>492</v>
      </c>
      <c r="B6" s="1"/>
      <c r="C6" s="10" t="s">
        <v>522</v>
      </c>
      <c r="D6" s="1"/>
      <c r="E6" s="1"/>
      <c r="F6" s="22" t="s">
        <v>494</v>
      </c>
      <c r="G6" s="10" t="s">
        <v>523</v>
      </c>
      <c r="H6" s="1"/>
      <c r="I6" s="1"/>
      <c r="J6" s="38"/>
    </row>
    <row r="7" spans="1:12" ht="30.75">
      <c r="A7" s="22" t="s">
        <v>496</v>
      </c>
      <c r="B7" s="1"/>
      <c r="C7" s="40" t="s">
        <v>524</v>
      </c>
      <c r="D7" s="1"/>
      <c r="E7" s="1"/>
      <c r="F7" s="22" t="s">
        <v>498</v>
      </c>
      <c r="G7" s="40" t="s">
        <v>525</v>
      </c>
      <c r="H7" s="1"/>
      <c r="I7" s="1"/>
      <c r="J7" s="38"/>
    </row>
    <row r="8" spans="1:12" ht="42.75">
      <c r="A8" s="22" t="s">
        <v>500</v>
      </c>
      <c r="B8" s="1"/>
      <c r="C8" s="17" t="str">
        <f>VLOOKUP($L$4, Khung_KeHoach_Chuan!$A$5:$H$7, 2, FALSE)</f>
        <v>2026-08-24</v>
      </c>
      <c r="D8" s="1"/>
      <c r="E8" s="1"/>
      <c r="F8" s="22" t="s">
        <v>501</v>
      </c>
      <c r="G8" s="26" t="str">
        <f>VLOOKUP($L$4, Khung_KeHoach_Chuan!$A$5:$H$7, 4, FALSE)</f>
        <v>2026-11-20</v>
      </c>
      <c r="H8" s="1"/>
      <c r="I8" s="1"/>
      <c r="J8" s="38"/>
    </row>
    <row r="9" spans="1:12" ht="57">
      <c r="A9" s="22" t="s">
        <v>502</v>
      </c>
      <c r="B9" s="1"/>
      <c r="C9" s="26" t="str">
        <f>VLOOKUP($L$4, Khung_KeHoach_Chuan!$A$5:$H$7, 5, FALSE)</f>
        <v>2026-12-04</v>
      </c>
      <c r="D9" s="1"/>
      <c r="E9" s="1"/>
      <c r="F9" s="22" t="s">
        <v>503</v>
      </c>
      <c r="G9" s="27" t="str">
        <f>VLOOKUP($L$4, Khung_KeHoach_Chuan!$A$5:$H$7, 7, FALSE)</f>
        <v>26/12/2026 – 31/12/2026</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7.25">
      <c r="A13" s="28">
        <f>COUNTA(C16:C42) + IF($C$10&lt;&gt;"", COUNTA(C45:C71), 0)</f>
        <v>27</v>
      </c>
      <c r="B13" s="5">
        <f>COUNTIF(I16:I42, "Hoàn thành") + IF($C$10&lt;&gt;"", COUNTIF(I45:I71, "Hoàn thành"), 0)</f>
        <v>5</v>
      </c>
      <c r="C13" s="3">
        <f>COUNTIF(I16:I42, "Đang thực hiện") + IF($C$10&lt;&gt;"", COUNTIF(I45:I71, "Đang thực hiện"), 0)</f>
        <v>4</v>
      </c>
      <c r="D13" s="4">
        <f>COUNTIF(I16:I42, "Chưa bắt đầu") + IF($C$10&lt;&gt;"", COUNTIF(I45:I71, "Chưa bắt đầu"), 0)</f>
        <v>18</v>
      </c>
      <c r="E13" s="4"/>
      <c r="F13" s="29">
        <f>COUNTIF(I16:I42, "Tạm hoãn - Bị chặn") + IF($C$10&lt;&gt;"", COUNTIF(I45:I71, "Tạm hoãn - Bị chặn"), 0)</f>
        <v>0</v>
      </c>
      <c r="G13" s="28" t="str">
        <f>G8</f>
        <v>2026-11-20</v>
      </c>
      <c r="H13" s="30">
        <f>B13/A13</f>
        <v>0.18518518518518517</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ht="18.75" customHeight="1">
      <c r="A15" s="8" t="s">
        <v>8</v>
      </c>
      <c r="B15" s="8" t="s">
        <v>70</v>
      </c>
      <c r="C15" s="8" t="s">
        <v>71</v>
      </c>
      <c r="D15" s="8" t="s">
        <v>513</v>
      </c>
      <c r="E15" s="8" t="s">
        <v>514</v>
      </c>
      <c r="F15" s="8" t="s">
        <v>73</v>
      </c>
      <c r="G15" s="8" t="s">
        <v>74</v>
      </c>
      <c r="H15" s="8" t="s">
        <v>75</v>
      </c>
      <c r="I15" s="8" t="s">
        <v>515</v>
      </c>
      <c r="J15" s="8" t="s">
        <v>516</v>
      </c>
    </row>
    <row r="16" spans="1:12" ht="105.75" customHeight="1">
      <c r="A16" s="9">
        <v>1</v>
      </c>
      <c r="B16" s="10" t="str">
        <f>VLOOKUP($L$4&amp;"_"&amp;$A16, Khung_KeHoach_Chuan!$A$11:$J$91, 4, FALSE)</f>
        <v>I. ĐỊNH HƯỚNG &amp; PHƯƠNG PHÁP LUẬN</v>
      </c>
      <c r="C16" s="17" t="str">
        <f>VLOOKUP($L$4&amp;"_"&amp;$A16, Khung_KeHoach_Chuan!$A$11:$J$91, 5, FALSE)</f>
        <v>Xác định bài toán mạng &amp; mục tiêu dự án SDN/SD-WAN</v>
      </c>
      <c r="D16" s="33" t="str">
        <f>VLOOKUP($L$4&amp;"_"&amp;$A16, Khung_KeHoach_Chuan!$A$11:$J$91, 6, FALSE)</f>
        <v>Vấn đề mạng cần giải quyết (định tuyến, QoS, giám sát, bảo mật...); phạm vi topology thử nghiệm</v>
      </c>
      <c r="E16" s="35" t="s">
        <v>526</v>
      </c>
      <c r="F16" s="11" t="str">
        <f>VLOOKUP($L$4&amp;"_"&amp;$A16, Khung_KeHoach_Chuan!$A$11:$J$91, 7, FALSE)</f>
        <v>2026-08-24</v>
      </c>
      <c r="G16" s="11" t="str">
        <f>VLOOKUP($L$4&amp;"_"&amp;$A16, Khung_KeHoach_Chuan!$A$11:$J$91, 8, FALSE)</f>
        <v>2026-08-28</v>
      </c>
      <c r="H16" s="10" t="str">
        <f>VLOOKUP($L$4&amp;"_"&amp;$A16, Khung_KeHoach_Chuan!$A$11:$J$91, 9, FALSE)</f>
        <v>Tuyên bố bài toán + Phạm vi triển khai SDN/SD-WAN v1</v>
      </c>
      <c r="I16" s="11" t="s">
        <v>517</v>
      </c>
      <c r="J16" s="10"/>
    </row>
    <row r="17" spans="1:10" ht="76.5" customHeight="1">
      <c r="A17" s="13">
        <v>2</v>
      </c>
      <c r="B17" s="14" t="str">
        <f>VLOOKUP($L$4&amp;"_"&amp;$A17, Khung_KeHoach_Chuan!$A$11:$J$91, 4, FALSE)</f>
        <v>I. ĐỊNH HƯỚNG &amp; PHƯƠNG PHÁP LUẬN</v>
      </c>
      <c r="C17" s="16" t="str">
        <f>VLOOKUP($L$4&amp;"_"&amp;$A17, Khung_KeHoach_Chuan!$A$11:$J$91, 5, FALSE)</f>
        <v>Khảo sát kiến trúc SDN/SD-WAN &amp; giải pháp liên quan</v>
      </c>
      <c r="D17" s="32" t="str">
        <f>VLOOKUP($L$4&amp;"_"&amp;$A17, Khung_KeHoach_Chuan!$A$11:$J$91, 6, FALSE)</f>
        <v>Kiến trúc SDN (control/data plane, OpenFlow), nền tảng SD-WAN thương mại/mã nguồn mở</v>
      </c>
      <c r="E17" s="35" t="s">
        <v>527</v>
      </c>
      <c r="F17" s="15" t="str">
        <f>VLOOKUP($L$4&amp;"_"&amp;$A17, Khung_KeHoach_Chuan!$A$11:$J$91, 7, FALSE)</f>
        <v>2026-08-24</v>
      </c>
      <c r="G17" s="15" t="str">
        <f>VLOOKUP($L$4&amp;"_"&amp;$A17, Khung_KeHoach_Chuan!$A$11:$J$91, 8, FALSE)</f>
        <v>2026-09-02</v>
      </c>
      <c r="H17" s="14" t="str">
        <f>VLOOKUP($L$4&amp;"_"&amp;$A17, Khung_KeHoach_Chuan!$A$11:$J$91, 9, FALSE)</f>
        <v>Bảng khảo sát Related Work + So sánh giải pháp SDN/SD-WAN hiện có</v>
      </c>
      <c r="I17" s="15" t="s">
        <v>517</v>
      </c>
      <c r="J17" s="14"/>
    </row>
    <row r="18" spans="1:10" ht="57">
      <c r="A18" s="9">
        <v>3</v>
      </c>
      <c r="B18" s="10" t="str">
        <f>VLOOKUP($L$4&amp;"_"&amp;$A18, Khung_KeHoach_Chuan!$A$11:$J$91, 4, FALSE)</f>
        <v>I. ĐỊNH HƯỚNG &amp; PHƯƠNG PHÁP LUẬN</v>
      </c>
      <c r="C18" s="17" t="str">
        <f>VLOOKUP($L$4&amp;"_"&amp;$A18, Khung_KeHoach_Chuan!$A$11:$J$91, 5, FALSE)</f>
        <v>Chọn SDN controller, công cụ mô phỏng &amp; kiến trúc hệ thống</v>
      </c>
      <c r="D18" s="33" t="str">
        <f>VLOOKUP($L$4&amp;"_"&amp;$A18, Khung_KeHoach_Chuan!$A$11:$J$91, 6, FALSE)</f>
        <v>Controller (ONOS/Ryu/OpenDaylight), công cụ mô phỏng (Mininet/Containerlab/GNS3), giao thức điều khiển</v>
      </c>
      <c r="E18" s="35" t="s">
        <v>528</v>
      </c>
      <c r="F18" s="11" t="str">
        <f>VLOOKUP($L$4&amp;"_"&amp;$A18, Khung_KeHoach_Chuan!$A$11:$J$91, 7, FALSE)</f>
        <v>2026-08-28</v>
      </c>
      <c r="G18" s="11" t="str">
        <f>VLOOKUP($L$4&amp;"_"&amp;$A18, Khung_KeHoach_Chuan!$A$11:$J$91, 8, FALSE)</f>
        <v>2026-09-05</v>
      </c>
      <c r="H18" s="10" t="str">
        <f>VLOOKUP($L$4&amp;"_"&amp;$A18, Khung_KeHoach_Chuan!$A$11:$J$91, 9, FALSE)</f>
        <v>Sơ đồ kiến trúc tổng thể mạng + Tech stack specification</v>
      </c>
      <c r="I18" s="11" t="s">
        <v>517</v>
      </c>
      <c r="J18" s="10"/>
    </row>
    <row r="19" spans="1:10" ht="28.5">
      <c r="A19" s="13">
        <v>4</v>
      </c>
      <c r="B19" s="14" t="str">
        <f>VLOOKUP($L$4&amp;"_"&amp;$A19, Khung_KeHoach_Chuan!$A$11:$J$91, 4, FALSE)</f>
        <v>I. ĐỊNH HƯỚNG &amp; PHƯƠNG PHÁP LUẬN</v>
      </c>
      <c r="C19" s="16" t="str">
        <f>VLOOKUP($L$4&amp;"_"&amp;$A19, Khung_KeHoach_Chuan!$A$11:$J$91, 5, FALSE)</f>
        <v>Lập kế hoạch công việc, phân công &amp; quản trị rủi ro</v>
      </c>
      <c r="D19" s="32" t="str">
        <f>VLOOKUP($L$4&amp;"_"&amp;$A19, Khung_KeHoach_Chuan!$A$11:$J$91, 6, FALSE)</f>
        <v>WBS: dựng testbed, lập trình controller, kiểm thử định tuyến; Git repo &amp; quy ước làm việc</v>
      </c>
      <c r="E19" s="35"/>
      <c r="F19" s="15" t="str">
        <f>VLOOKUP($L$4&amp;"_"&amp;$A19, Khung_KeHoach_Chuan!$A$11:$J$91, 7, FALSE)</f>
        <v>2026-08-30</v>
      </c>
      <c r="G19" s="15" t="str">
        <f>VLOOKUP($L$4&amp;"_"&amp;$A19, Khung_KeHoach_Chuan!$A$11:$J$91, 8, FALSE)</f>
        <v>2026-09-05</v>
      </c>
      <c r="H19" s="14" t="str">
        <f>VLOOKUP($L$4&amp;"_"&amp;$A19, Khung_KeHoach_Chuan!$A$11:$J$91, 9, FALSE)</f>
        <v>WBS Backlog + Git repo setup + Quy ước làm việc</v>
      </c>
      <c r="I19" s="15" t="s">
        <v>517</v>
      </c>
      <c r="J19" s="14"/>
    </row>
    <row r="20" spans="1:10" ht="28.5">
      <c r="A20" s="9">
        <v>5</v>
      </c>
      <c r="B20" s="10" t="str">
        <f>VLOOKUP($L$4&amp;"_"&amp;$A20, Khung_KeHoach_Chuan!$A$11:$J$91, 4, FALSE)</f>
        <v>II. THIẾT KẾ &amp; CHUẨN BỊ</v>
      </c>
      <c r="C20" s="17" t="str">
        <f>VLOOKUP($L$4&amp;"_"&amp;$A20, Khung_KeHoach_Chuan!$A$11:$J$91, 5, FALSE)</f>
        <v>Thiết kế topology mạng thử nghiệm &amp; luồng điều khiển</v>
      </c>
      <c r="D20" s="33" t="str">
        <f>VLOOKUP($L$4&amp;"_"&amp;$A20, Khung_KeHoach_Chuan!$A$11:$J$91, 6, FALSE)</f>
        <v>Sơ đồ topology SDN/SD-WAN, luồng traffic, cơ chế trao đổi control plane - data plane</v>
      </c>
      <c r="E20" s="35"/>
      <c r="F20" s="11" t="str">
        <f>VLOOKUP($L$4&amp;"_"&amp;$A20, Khung_KeHoach_Chuan!$A$11:$J$91, 7, FALSE)</f>
        <v>2026-09-06</v>
      </c>
      <c r="G20" s="11" t="str">
        <f>VLOOKUP($L$4&amp;"_"&amp;$A20, Khung_KeHoach_Chuan!$A$11:$J$91, 8, FALSE)</f>
        <v>2026-09-12</v>
      </c>
      <c r="H20" s="10" t="str">
        <f>VLOOKUP($L$4&amp;"_"&amp;$A20, Khung_KeHoach_Chuan!$A$11:$J$91, 9, FALSE)</f>
        <v>Sơ đồ topology mạng + Thiết kế luồng điều khiển v1</v>
      </c>
      <c r="I20" s="11" t="s">
        <v>517</v>
      </c>
      <c r="J20" s="10"/>
    </row>
    <row r="21" spans="1:10" ht="28.5">
      <c r="A21" s="13">
        <v>6</v>
      </c>
      <c r="B21" s="14" t="str">
        <f>VLOOKUP($L$4&amp;"_"&amp;$A21, Khung_KeHoach_Chuan!$A$11:$J$91, 4, FALSE)</f>
        <v>II. THIẾT KẾ &amp; CHUẨN BỊ</v>
      </c>
      <c r="C21" s="16" t="str">
        <f>VLOOKUP($L$4&amp;"_"&amp;$A21, Khung_KeHoach_Chuan!$A$11:$J$91, 5, FALSE)</f>
        <v>Chuẩn bị testbed, controller &amp; công cụ giám sát mạng</v>
      </c>
      <c r="D21" s="32" t="str">
        <f>VLOOKUP($L$4&amp;"_"&amp;$A21, Khung_KeHoach_Chuan!$A$11:$J$91, 6, FALSE)</f>
        <v>Cài đặt Mininet/Containerlab + controller, công cụ sinh traffic (iperf/hping3), giám sát (Wireshark)</v>
      </c>
      <c r="E21" s="35"/>
      <c r="F21" s="15" t="str">
        <f>VLOOKUP($L$4&amp;"_"&amp;$A21, Khung_KeHoach_Chuan!$A$11:$J$91, 7, FALSE)</f>
        <v>2026-09-06</v>
      </c>
      <c r="G21" s="15" t="str">
        <f>VLOOKUP($L$4&amp;"_"&amp;$A21, Khung_KeHoach_Chuan!$A$11:$J$91, 8, FALSE)</f>
        <v>2026-09-12</v>
      </c>
      <c r="H21" s="14" t="str">
        <f>VLOOKUP($L$4&amp;"_"&amp;$A21, Khung_KeHoach_Chuan!$A$11:$J$91, 9, FALSE)</f>
        <v>Testbed SDN/SD-WAN hoàn chỉnh + Công cụ giám sát</v>
      </c>
      <c r="I21" s="15" t="s">
        <v>529</v>
      </c>
      <c r="J21" s="14"/>
    </row>
    <row r="22" spans="1:10" ht="28.5">
      <c r="A22" s="9">
        <v>7</v>
      </c>
      <c r="B22" s="10" t="str">
        <f>VLOOKUP($L$4&amp;"_"&amp;$A22, Khung_KeHoach_Chuan!$A$11:$J$91, 4, FALSE)</f>
        <v>II. THIẾT KẾ &amp; CHUẨN BỊ</v>
      </c>
      <c r="C22" s="17" t="str">
        <f>VLOOKUP($L$4&amp;"_"&amp;$A22, Khung_KeHoach_Chuan!$A$11:$J$91, 5, FALSE)</f>
        <v>Xây dựng kế hoạch kiểm thử &amp; tiêu chí nghiệm thu</v>
      </c>
      <c r="D22" s="33" t="str">
        <f>VLOOKUP($L$4&amp;"_"&amp;$A22, Khung_KeHoach_Chuan!$A$11:$J$91, 6, FALSE)</f>
        <v>Test plan, kịch bản định tuyến/failover, tiêu chí đánh giá (Latency, Throughput, Packet Loss)</v>
      </c>
      <c r="E22" s="35"/>
      <c r="F22" s="11" t="str">
        <f>VLOOKUP($L$4&amp;"_"&amp;$A22, Khung_KeHoach_Chuan!$A$11:$J$91, 7, FALSE)</f>
        <v>2026-09-13</v>
      </c>
      <c r="G22" s="11" t="str">
        <f>VLOOKUP($L$4&amp;"_"&amp;$A22, Khung_KeHoach_Chuan!$A$11:$J$91, 8, FALSE)</f>
        <v>2026-09-19</v>
      </c>
      <c r="H22" s="10" t="str">
        <f>VLOOKUP($L$4&amp;"_"&amp;$A22, Khung_KeHoach_Chuan!$A$11:$J$91, 9, FALSE)</f>
        <v>Test plan + Bộ tiêu chí đánh giá + Baseline metrics</v>
      </c>
      <c r="I22" s="11" t="s">
        <v>529</v>
      </c>
      <c r="J22" s="10"/>
    </row>
    <row r="23" spans="1:10" ht="28.5">
      <c r="A23" s="13">
        <v>8</v>
      </c>
      <c r="B23" s="14" t="str">
        <f>VLOOKUP($L$4&amp;"_"&amp;$A23, Khung_KeHoach_Chuan!$A$11:$J$91, 4, FALSE)</f>
        <v>II. THIẾT KẾ &amp; CHUẨN BỊ</v>
      </c>
      <c r="C23" s="16" t="str">
        <f>VLOOKUP($L$4&amp;"_"&amp;$A23, Khung_KeHoach_Chuan!$A$11:$J$91, 5, FALSE)</f>
        <v>Làm Proof of Concept (PoC): điều khiển định tuyến cơ bản qua controller</v>
      </c>
      <c r="D23" s="32" t="str">
        <f>VLOOKUP($L$4&amp;"_"&amp;$A23, Khung_KeHoach_Chuan!$A$11:$J$91, 6, FALSE)</f>
        <v>Cấu hình flow rules cơ bản, kiểm tra khả năng điều khiển luồng traffic qua controller</v>
      </c>
      <c r="E23" s="35"/>
      <c r="F23" s="15" t="str">
        <f>VLOOKUP($L$4&amp;"_"&amp;$A23, Khung_KeHoach_Chuan!$A$11:$J$91, 7, FALSE)</f>
        <v>2026-09-13</v>
      </c>
      <c r="G23" s="15" t="str">
        <f>VLOOKUP($L$4&amp;"_"&amp;$A23, Khung_KeHoach_Chuan!$A$11:$J$91, 8, FALSE)</f>
        <v>2026-09-19</v>
      </c>
      <c r="H23" s="14" t="str">
        <f>VLOOKUP($L$4&amp;"_"&amp;$A23, Khung_KeHoach_Chuan!$A$11:$J$91, 9, FALSE)</f>
        <v>Bản demo PoC điều khiển SDN chạy được + Báo cáo rủi ro kỹ thuật</v>
      </c>
      <c r="I23" s="15" t="s">
        <v>529</v>
      </c>
      <c r="J23" s="14"/>
    </row>
    <row r="24" spans="1:10" ht="28.5">
      <c r="A24" s="9">
        <v>9</v>
      </c>
      <c r="B24" s="10" t="str">
        <f>VLOOKUP($L$4&amp;"_"&amp;$A24, Khung_KeHoach_Chuan!$A$11:$J$91, 4, FALSE)</f>
        <v>III. TRIỂN KHAI / THỰC NGHIỆM</v>
      </c>
      <c r="C24" s="17" t="str">
        <f>VLOOKUP($L$4&amp;"_"&amp;$A24, Khung_KeHoach_Chuan!$A$11:$J$91, 5, FALSE)</f>
        <v>Xây dựng phiên bản MVP: hệ thống SDN/SD-WAN vận hành cơ bản</v>
      </c>
      <c r="D24" s="33" t="str">
        <f>VLOOKUP($L$4&amp;"_"&amp;$A24, Khung_KeHoach_Chuan!$A$11:$J$91, 6, FALSE)</f>
        <v>Hoàn thành luồng điều khiển - định tuyến - giám sát cơ bản trên toàn bộ topology</v>
      </c>
      <c r="E24" s="35"/>
      <c r="F24" s="11" t="str">
        <f>VLOOKUP($L$4&amp;"_"&amp;$A24, Khung_KeHoach_Chuan!$A$11:$J$91, 7, FALSE)</f>
        <v>2026-09-20</v>
      </c>
      <c r="G24" s="11" t="str">
        <f>VLOOKUP($L$4&amp;"_"&amp;$A24, Khung_KeHoach_Chuan!$A$11:$J$91, 8, FALSE)</f>
        <v>2026-09-26</v>
      </c>
      <c r="H24" s="10" t="str">
        <f>VLOOKUP($L$4&amp;"_"&amp;$A24, Khung_KeHoach_Chuan!$A$11:$J$91, 9, FALSE)</f>
        <v>Bản MVP: hệ thống SDN/SD-WAN chạy thông luồng cơ bản</v>
      </c>
      <c r="I24" s="11" t="s">
        <v>529</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tr">
        <f>VLOOKUP($L$4&amp;"_"&amp;$A25, Khung_KeHoach_Chuan!$A$11:$J$91, 6, FALSE)</f>
        <v>Tổng hợp tiến độ thực hiện, nộp phiếu theo dõi có chữ ký GVHD</v>
      </c>
      <c r="E25" s="35"/>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518</v>
      </c>
      <c r="J25" s="21"/>
    </row>
    <row r="26" spans="1:10" ht="28.5">
      <c r="A26" s="9">
        <v>11</v>
      </c>
      <c r="B26" s="10" t="str">
        <f>VLOOKUP($L$4&amp;"_"&amp;$A26, Khung_KeHoach_Chuan!$A$11:$J$91, 4, FALSE)</f>
        <v>III. TRIỂN KHAI / THỰC NGHIỆM</v>
      </c>
      <c r="C26" s="17" t="str">
        <f>VLOOKUP($L$4&amp;"_"&amp;$A26, Khung_KeHoach_Chuan!$A$11:$J$91, 5, FALSE)</f>
        <v>Phát triển hoàn thiện module định tuyến &amp; chính sách điều khiển</v>
      </c>
      <c r="D26" s="33" t="str">
        <f>VLOOKUP($L$4&amp;"_"&amp;$A26, Khung_KeHoach_Chuan!$A$11:$J$91, 6, FALSE)</f>
        <v>Lập trình logic định tuyến động, chính sách QoS/ưu tiên traffic, xử lý sự kiện mạng</v>
      </c>
      <c r="E26" s="35"/>
      <c r="F26" s="11" t="str">
        <f>VLOOKUP($L$4&amp;"_"&amp;$A26, Khung_KeHoach_Chuan!$A$11:$J$91, 7, FALSE)</f>
        <v>2026-10-05</v>
      </c>
      <c r="G26" s="11" t="str">
        <f>VLOOKUP($L$4&amp;"_"&amp;$A26, Khung_KeHoach_Chuan!$A$11:$J$91, 8, FALSE)</f>
        <v>2026-10-18</v>
      </c>
      <c r="H26" s="10" t="str">
        <f>VLOOKUP($L$4&amp;"_"&amp;$A26, Khung_KeHoach_Chuan!$A$11:$J$91, 9, FALSE)</f>
        <v>Module định tuyến &amp; chính sách điều khiển hoàn chỉnh trên Git</v>
      </c>
      <c r="I26" s="11" t="s">
        <v>518</v>
      </c>
      <c r="J26" s="10"/>
    </row>
    <row r="27" spans="1:10" ht="28.5">
      <c r="A27" s="13">
        <v>12</v>
      </c>
      <c r="B27" s="14" t="str">
        <f>VLOOKUP($L$4&amp;"_"&amp;$A27, Khung_KeHoach_Chuan!$A$11:$J$91, 4, FALSE)</f>
        <v>III. TRIỂN KHAI / THỰC NGHIỆM</v>
      </c>
      <c r="C27" s="16" t="str">
        <f>VLOOKUP($L$4&amp;"_"&amp;$A27, Khung_KeHoach_Chuan!$A$11:$J$91, 5, FALSE)</f>
        <v>Tích hợp toàn bộ hệ thống &amp; đồng bộ cấu hình mạng</v>
      </c>
      <c r="D27" s="32" t="str">
        <f>VLOOKUP($L$4&amp;"_"&amp;$A27, Khung_KeHoach_Chuan!$A$11:$J$91, 6, FALSE)</f>
        <v>Kết nối controller-switch-orchestrator, đồng bộ cấu hình giữa các site SD-WAN</v>
      </c>
      <c r="E27" s="35"/>
      <c r="F27" s="15" t="str">
        <f>VLOOKUP($L$4&amp;"_"&amp;$A27, Khung_KeHoach_Chuan!$A$11:$J$91, 7, FALSE)</f>
        <v>2026-10-19</v>
      </c>
      <c r="G27" s="15" t="str">
        <f>VLOOKUP($L$4&amp;"_"&amp;$A27, Khung_KeHoach_Chuan!$A$11:$J$91, 8, FALSE)</f>
        <v>2026-10-25</v>
      </c>
      <c r="H27" s="14" t="str">
        <f>VLOOKUP($L$4&amp;"_"&amp;$A27, Khung_KeHoach_Chuan!$A$11:$J$91, 9, FALSE)</f>
        <v>Hệ thống tích hợp hoàn chỉnh (Full System Build)</v>
      </c>
      <c r="I27" s="15" t="s">
        <v>518</v>
      </c>
      <c r="J27" s="14"/>
    </row>
    <row r="28" spans="1:10" ht="28.5">
      <c r="A28" s="9">
        <v>13</v>
      </c>
      <c r="B28" s="10" t="str">
        <f>VLOOKUP($L$4&amp;"_"&amp;$A28, Khung_KeHoach_Chuan!$A$11:$J$91, 4, FALSE)</f>
        <v>III. TRIỂN KHAI / THỰC NGHIỆM</v>
      </c>
      <c r="C28" s="17" t="str">
        <f>VLOOKUP($L$4&amp;"_"&amp;$A28, Khung_KeHoach_Chuan!$A$11:$J$91, 5, FALSE)</f>
        <v>Duy trì Technical Log, Commit history &amp; Bằng chứng</v>
      </c>
      <c r="D28" s="33" t="str">
        <f>VLOOKUP($L$4&amp;"_"&amp;$A28, Khung_KeHoach_Chuan!$A$11:$J$91, 6, FALSE)</f>
        <v>Ghi log cấu hình controller, thay đổi flow rules, biên bản họp định kỳ với GVHD</v>
      </c>
      <c r="E28" s="35"/>
      <c r="F28" s="11" t="str">
        <f>VLOOKUP($L$4&amp;"_"&amp;$A28, Khung_KeHoach_Chuan!$A$11:$J$91, 7, FALSE)</f>
        <v>2026-09-20</v>
      </c>
      <c r="G28" s="11" t="str">
        <f>VLOOKUP($L$4&amp;"_"&amp;$A28, Khung_KeHoach_Chuan!$A$11:$J$91, 8, FALSE)</f>
        <v>2026-10-31</v>
      </c>
      <c r="H28" s="10" t="str">
        <f>VLOOKUP($L$4&amp;"_"&amp;$A28, Khung_KeHoach_Chuan!$A$11:$J$91, 9, FALSE)</f>
        <v>Thư mục Evidence + Git commit log chuẩn quy cách</v>
      </c>
      <c r="I28" s="11" t="s">
        <v>518</v>
      </c>
      <c r="J28" s="10"/>
    </row>
    <row r="29" spans="1:10" ht="28.5">
      <c r="A29" s="13">
        <v>14</v>
      </c>
      <c r="B29" s="14" t="str">
        <f>VLOOKUP($L$4&amp;"_"&amp;$A29, Khung_KeHoach_Chuan!$A$11:$J$91, 4, FALSE)</f>
        <v>IV. KIỂM THỬ &amp; ĐÁNH GIÁ</v>
      </c>
      <c r="C29" s="16" t="str">
        <f>VLOOKUP($L$4&amp;"_"&amp;$A29, Khung_KeHoach_Chuan!$A$11:$J$91, 5, FALSE)</f>
        <v>Thực thi kiểm thử chức năng hệ thống SDN/SD-WAN</v>
      </c>
      <c r="D29" s="32" t="str">
        <f>VLOOKUP($L$4&amp;"_"&amp;$A29, Khung_KeHoach_Chuan!$A$11:$J$91, 6, FALSE)</f>
        <v>Kiểm tra định tuyến, failover, chính sách QoS, khả năng phản hồi controller</v>
      </c>
      <c r="E29" s="35"/>
      <c r="F29" s="15" t="str">
        <f>VLOOKUP($L$4&amp;"_"&amp;$A29, Khung_KeHoach_Chuan!$A$11:$J$91, 7, FALSE)</f>
        <v>2026-10-26</v>
      </c>
      <c r="G29" s="15" t="str">
        <f>VLOOKUP($L$4&amp;"_"&amp;$A29, Khung_KeHoach_Chuan!$A$11:$J$91, 8, FALSE)</f>
        <v>2026-11-01</v>
      </c>
      <c r="H29" s="14" t="str">
        <f>VLOOKUP($L$4&amp;"_"&amp;$A29, Khung_KeHoach_Chuan!$A$11:$J$91, 9, FALSE)</f>
        <v>Bảng kết quả test chi tiết + Danh sách lỗi đã xử lý</v>
      </c>
      <c r="I29" s="15" t="s">
        <v>518</v>
      </c>
      <c r="J29" s="14"/>
    </row>
    <row r="30" spans="1:10" ht="28.5">
      <c r="A30" s="9">
        <v>15</v>
      </c>
      <c r="B30" s="10" t="str">
        <f>VLOOKUP($L$4&amp;"_"&amp;$A30, Khung_KeHoach_Chuan!$A$11:$J$91, 4, FALSE)</f>
        <v>IV. KIỂM THỬ &amp; ĐÁNH GIÁ</v>
      </c>
      <c r="C30" s="17" t="str">
        <f>VLOOKUP($L$4&amp;"_"&amp;$A30, Khung_KeHoach_Chuan!$A$11:$J$91, 5, FALSE)</f>
        <v>Kiểm thử hiệu năng, độ trễ &amp; khả năng mở rộng hệ thống</v>
      </c>
      <c r="D30" s="33" t="str">
        <f>VLOOKUP($L$4&amp;"_"&amp;$A30, Khung_KeHoach_Chuan!$A$11:$J$91, 6, FALSE)</f>
        <v>Đo độ trễ xử lý (latency), thông lượng (throughput), khả năng chịu tải</v>
      </c>
      <c r="E30" s="35"/>
      <c r="F30" s="11" t="str">
        <f>VLOOKUP($L$4&amp;"_"&amp;$A30, Khung_KeHoach_Chuan!$A$11:$J$91, 7, FALSE)</f>
        <v>2026-11-02</v>
      </c>
      <c r="G30" s="11" t="str">
        <f>VLOOKUP($L$4&amp;"_"&amp;$A30, Khung_KeHoach_Chuan!$A$11:$J$91, 8, FALSE)</f>
        <v>2026-11-08</v>
      </c>
      <c r="H30" s="10" t="str">
        <f>VLOOKUP($L$4&amp;"_"&amp;$A30, Khung_KeHoach_Chuan!$A$11:$J$91, 9, FALSE)</f>
        <v>Báo cáo Performance &amp; Scalability testing</v>
      </c>
      <c r="I30" s="11" t="s">
        <v>518</v>
      </c>
      <c r="J30" s="10"/>
    </row>
    <row r="31" spans="1:10" ht="28.5">
      <c r="A31" s="13">
        <v>16</v>
      </c>
      <c r="B31" s="14" t="str">
        <f>VLOOKUP($L$4&amp;"_"&amp;$A31, Khung_KeHoach_Chuan!$A$11:$J$91, 4, FALSE)</f>
        <v>IV. KIỂM THỬ &amp; ĐÁNH GIÁ</v>
      </c>
      <c r="C31" s="16" t="str">
        <f>VLOOKUP($L$4&amp;"_"&amp;$A31, Khung_KeHoach_Chuan!$A$11:$J$91, 5, FALSE)</f>
        <v>Tổng hợp số liệu thực nghiệm &amp; biểu đồ đánh giá hệ thống</v>
      </c>
      <c r="D31" s="32" t="str">
        <f>VLOOKUP($L$4&amp;"_"&amp;$A31, Khung_KeHoach_Chuan!$A$11:$J$91, 6, FALSE)</f>
        <v>Độ trễ định tuyến, thông lượng, tỷ lệ mất gói, so sánh trước/sau khi áp dụng SDN</v>
      </c>
      <c r="E31" s="35"/>
      <c r="F31" s="15" t="str">
        <f>VLOOKUP($L$4&amp;"_"&amp;$A31, Khung_KeHoach_Chuan!$A$11:$J$91, 7, FALSE)</f>
        <v>2026-11-09</v>
      </c>
      <c r="G31" s="15" t="str">
        <f>VLOOKUP($L$4&amp;"_"&amp;$A31, Khung_KeHoach_Chuan!$A$11:$J$91, 8, FALSE)</f>
        <v>2026-11-15</v>
      </c>
      <c r="H31" s="14" t="str">
        <f>VLOOKUP($L$4&amp;"_"&amp;$A31, Khung_KeHoach_Chuan!$A$11:$J$91, 9, FALSE)</f>
        <v>Bộ biểu đồ kết quả + Bảng so sánh hiệu quả mạng truyền thống và SDN</v>
      </c>
      <c r="I31" s="15" t="s">
        <v>518</v>
      </c>
      <c r="J31" s="14"/>
    </row>
    <row r="32" spans="1:10">
      <c r="A32" s="9">
        <v>17</v>
      </c>
      <c r="B32" s="10" t="str">
        <f>VLOOKUP($L$4&amp;"_"&amp;$A32, Khung_KeHoach_Chuan!$A$11:$J$91, 4, FALSE)</f>
        <v>IV. KIỂM THỬ &amp; ĐÁNH GIÁ</v>
      </c>
      <c r="C32" s="17" t="str">
        <f>VLOOKUP($L$4&amp;"_"&amp;$A32, Khung_KeHoach_Chuan!$A$11:$J$91, 5, FALSE)</f>
        <v>Đánh giá đạt mục tiêu &amp; ghi nhận hạn chế</v>
      </c>
      <c r="D32" s="33" t="str">
        <f>VLOOKUP($L$4&amp;"_"&amp;$A32, Khung_KeHoach_Chuan!$A$11:$J$91, 6, FALSE)</f>
        <v>Đối chiếu mục tiêu ban đầu, chỉ ra hạn chế &amp; đề xuất hướng cải tiến</v>
      </c>
      <c r="E32" s="35"/>
      <c r="F32" s="11" t="str">
        <f>VLOOKUP($L$4&amp;"_"&amp;$A32, Khung_KeHoach_Chuan!$A$11:$J$91, 7, FALSE)</f>
        <v>2026-11-12</v>
      </c>
      <c r="G32" s="11" t="str">
        <f>VLOOKUP($L$4&amp;"_"&amp;$A32, Khung_KeHoach_Chuan!$A$11:$J$91, 8, FALSE)</f>
        <v>2026-11-18</v>
      </c>
      <c r="H32" s="10" t="str">
        <f>VLOOKUP($L$4&amp;"_"&amp;$A32, Khung_KeHoach_Chuan!$A$11:$J$91, 9, FALSE)</f>
        <v>Bảng đối chiếu mục tiêu - kết quả đạt được</v>
      </c>
      <c r="I32" s="11" t="s">
        <v>518</v>
      </c>
      <c r="J32" s="10"/>
    </row>
    <row r="33" spans="1:10" ht="28.5">
      <c r="A33" s="13">
        <v>18</v>
      </c>
      <c r="B33" s="14" t="str">
        <f>VLOOKUP($L$4&amp;"_"&amp;$A33, Khung_KeHoach_Chuan!$A$11:$J$91, 4, FALSE)</f>
        <v>V. VIẾT &amp; HOÀN THIỆN BÁO CÁO</v>
      </c>
      <c r="C33" s="16" t="str">
        <f>VLOOKUP($L$4&amp;"_"&amp;$A33, Khung_KeHoach_Chuan!$A$11:$J$91, 5, FALSE)</f>
        <v>Xây dựng dàn ý &amp; viết chương mở đầu, cơ sở lý thuyết</v>
      </c>
      <c r="D33" s="32" t="str">
        <f>VLOOKUP($L$4&amp;"_"&amp;$A33, Khung_KeHoach_Chuan!$A$11:$J$91, 6, FALSE)</f>
        <v>Tổng quan SDN/SD-WAN, cơ sở lý thuyết định tuyến/điều khiển mạng, phát biểu bài toán</v>
      </c>
      <c r="E33" s="35"/>
      <c r="F33" s="15" t="str">
        <f>VLOOKUP($L$4&amp;"_"&amp;$A33, Khung_KeHoach_Chuan!$A$11:$J$91, 7, FALSE)</f>
        <v>2026-10-26</v>
      </c>
      <c r="G33" s="15" t="str">
        <f>VLOOKUP($L$4&amp;"_"&amp;$A33, Khung_KeHoach_Chuan!$A$11:$J$91, 8, FALSE)</f>
        <v>2026-11-08</v>
      </c>
      <c r="H33" s="14" t="str">
        <f>VLOOKUP($L$4&amp;"_"&amp;$A33, Khung_KeHoach_Chuan!$A$11:$J$91, 9, FALSE)</f>
        <v>Bản thảo Chương 1, 2, 3 hoàn chỉnh</v>
      </c>
      <c r="I33" s="15" t="s">
        <v>518</v>
      </c>
      <c r="J33" s="14"/>
    </row>
    <row r="34" spans="1:10" ht="28.5">
      <c r="A34" s="9">
        <v>19</v>
      </c>
      <c r="B34" s="10" t="str">
        <f>VLOOKUP($L$4&amp;"_"&amp;$A34, Khung_KeHoach_Chuan!$A$11:$J$91, 4, FALSE)</f>
        <v>V. VIẾT &amp; HOÀN THIỆN BÁO CÁO</v>
      </c>
      <c r="C34" s="17" t="str">
        <f>VLOOKUP($L$4&amp;"_"&amp;$A34, Khung_KeHoach_Chuan!$A$11:$J$91, 5, FALSE)</f>
        <v>Viết chương thiết kế hệ thống, triển khai &amp; kết quả thực nghiệm</v>
      </c>
      <c r="D34" s="33" t="str">
        <f>VLOOKUP($L$4&amp;"_"&amp;$A34, Khung_KeHoach_Chuan!$A$11:$J$91, 6, FALSE)</f>
        <v>Kiến trúc mạng, luồng điều khiển, kết quả thực nghiệm, biểu đồ minh họa</v>
      </c>
      <c r="E34" s="35"/>
      <c r="F34" s="11" t="str">
        <f>VLOOKUP($L$4&amp;"_"&amp;$A34, Khung_KeHoach_Chuan!$A$11:$J$91, 7, FALSE)</f>
        <v>2026-11-09</v>
      </c>
      <c r="G34" s="11" t="str">
        <f>VLOOKUP($L$4&amp;"_"&amp;$A34, Khung_KeHoach_Chuan!$A$11:$J$91, 8, FALSE)</f>
        <v>2026-11-18</v>
      </c>
      <c r="H34" s="10" t="str">
        <f>VLOOKUP($L$4&amp;"_"&amp;$A34, Khung_KeHoach_Chuan!$A$11:$J$91, 9, FALSE)</f>
        <v>Bản thảo Chương 4, 5 đầy đủ sơ đồ và số liệu</v>
      </c>
      <c r="I34" s="11" t="s">
        <v>518</v>
      </c>
      <c r="J34" s="10"/>
    </row>
    <row r="35" spans="1:10" ht="28.5">
      <c r="A35" s="13">
        <v>20</v>
      </c>
      <c r="B35" s="14" t="str">
        <f>VLOOKUP($L$4&amp;"_"&amp;$A35, Khung_KeHoach_Chuan!$A$11:$J$91, 4, FALSE)</f>
        <v>V. VIẾT &amp; HOÀN THIỆN BÁO CÁO</v>
      </c>
      <c r="C35" s="16" t="str">
        <f>VLOOKUP($L$4&amp;"_"&amp;$A35, Khung_KeHoach_Chuan!$A$11:$J$91, 5, FALSE)</f>
        <v>Hoàn thiện bản thảo toàn văn (Draft 100%)</v>
      </c>
      <c r="D35" s="32" t="str">
        <f>VLOOKUP($L$4&amp;"_"&amp;$A35, Khung_KeHoach_Chuan!$A$11:$J$91, 6, FALSE)</f>
        <v>Ghép nối toàn bộ nội dung, rà soát nhất quán thuật ngữ SDN/SD-WAN</v>
      </c>
      <c r="E35" s="35"/>
      <c r="F35" s="15" t="str">
        <f>VLOOKUP($L$4&amp;"_"&amp;$A35, Khung_KeHoach_Chuan!$A$11:$J$91, 7, FALSE)</f>
        <v>2026-11-16</v>
      </c>
      <c r="G35" s="15" t="str">
        <f>VLOOKUP($L$4&amp;"_"&amp;$A35, Khung_KeHoach_Chuan!$A$11:$J$91, 8, FALSE)</f>
        <v>2026-11-20</v>
      </c>
      <c r="H35" s="14" t="str">
        <f>VLOOKUP($L$4&amp;"_"&amp;$A35, Khung_KeHoach_Chuan!$A$11:$J$91, 9, FALSE)</f>
        <v>Bản thảo báo cáo toàn văn 100%</v>
      </c>
      <c r="I35" s="15" t="s">
        <v>518</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chỉnh sửa hoàn thiện</v>
      </c>
      <c r="D36" s="33" t="str">
        <f>VLOOKUP($L$4&amp;"_"&amp;$A36, Khung_KeHoach_Chuan!$A$11:$J$91, 6, FALSE)</f>
        <v>GVHD góp ý tính đúng đắn kỹ thuật mạng, chỉnh sửa văn phong</v>
      </c>
      <c r="E36" s="35"/>
      <c r="F36" s="11" t="str">
        <f>VLOOKUP($L$4&amp;"_"&amp;$A36, Khung_KeHoach_Chuan!$A$11:$J$91, 7, FALSE)</f>
        <v>2026-11-18</v>
      </c>
      <c r="G36" s="11" t="str">
        <f>VLOOKUP($L$4&amp;"_"&amp;$A36, Khung_KeHoach_Chuan!$A$11:$J$91, 8, FALSE)</f>
        <v>2026-11-20</v>
      </c>
      <c r="H36" s="10" t="str">
        <f>VLOOKUP($L$4&amp;"_"&amp;$A36, Khung_KeHoach_Chuan!$A$11:$J$91, 9, FALSE)</f>
        <v>Biên bản phản hồi góp ý + Bản sửa lần cuối</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(FINAL REPORT)</v>
      </c>
      <c r="D37" s="34" t="str">
        <f>VLOOKUP($L$4&amp;"_"&amp;$A37, Khung_KeHoach_Chuan!$A$11:$J$91, 6, FALSE)</f>
        <v>Khóa nội dung, kiểm tra định dạng chuẩn TDTU, xuất PDF hoàn chỉnh</v>
      </c>
      <c r="E37" s="35"/>
      <c r="F37" s="20" t="str">
        <f>VLOOKUP($L$4&amp;"_"&amp;$A37, Khung_KeHoach_Chuan!$A$11:$J$91, 7, FALSE)</f>
        <v>2026-11-20</v>
      </c>
      <c r="G37" s="20" t="str">
        <f>VLOOKUP($L$4&amp;"_"&amp;$A37, Khung_KeHoach_Chuan!$A$11:$J$91, 8, FALSE)</f>
        <v>2026-11-20</v>
      </c>
      <c r="H37" s="21" t="str">
        <f>VLOOKUP($L$4&amp;"_"&amp;$A37, Khung_KeHoach_Chuan!$A$11:$J$91, 9, FALSE)</f>
        <v>BÁO CÁO SẠCH FINAL READY TO SUBMIT</v>
      </c>
      <c r="I37" s="20" t="s">
        <v>518</v>
      </c>
      <c r="J37" s="21"/>
    </row>
    <row r="38" spans="1:10" ht="28.5">
      <c r="A38" s="19">
        <v>23</v>
      </c>
      <c r="B38" s="21" t="str">
        <f>VLOOKUP($L$4&amp;"_"&amp;$A38, Khung_KeHoach_Chuan!$A$11:$J$91, 4, FALSE)</f>
        <v>VI. ĐÓNG GÓI, BÁO CÁO &amp; ĐÁNH GIÁ RUBRIC</v>
      </c>
      <c r="C38" s="31" t="str">
        <f>VLOOKUP($L$4&amp;"_"&amp;$A38, Khung_KeHoach_Chuan!$A$11:$J$91, 5, FALSE)</f>
        <v>NỘP BÁO CÁO CUỐI KỲ (TURNITIN + ELIT)</v>
      </c>
      <c r="D38" s="34" t="str">
        <f>VLOOKUP($L$4&amp;"_"&amp;$A38, Khung_KeHoach_Chuan!$A$11:$J$91, 6, FALSE)</f>
        <v>Nộp file check đạo văn Turnitin + nộp hệ thống ELIT theo quy định Khoa</v>
      </c>
      <c r="E38" s="35"/>
      <c r="F38" s="20" t="str">
        <f>VLOOKUP($L$4&amp;"_"&amp;$A38, Khung_KeHoach_Chuan!$A$11:$J$91, 7, FALSE)</f>
        <v>2026-11-24</v>
      </c>
      <c r="G38" s="20" t="str">
        <f>VLOOKUP($L$4&amp;"_"&amp;$A38, Khung_KeHoach_Chuan!$A$11:$J$91, 8, FALSE)</f>
        <v>2026-12-04</v>
      </c>
      <c r="H38" s="21" t="str">
        <f>VLOOKUP($L$4&amp;"_"&amp;$A38, Khung_KeHoach_Chuan!$A$11:$J$91, 9, FALSE)</f>
        <v>Xác nhận nộp bài thành công trên ELIT &amp; Turnitin</v>
      </c>
      <c r="I38" s="20" t="s">
        <v>518</v>
      </c>
      <c r="J38" s="21"/>
    </row>
    <row r="39" spans="1:10" ht="28.5">
      <c r="A39" s="13">
        <v>24</v>
      </c>
      <c r="B39" s="14" t="str">
        <f>VLOOKUP($L$4&amp;"_"&amp;$A39, Khung_KeHoach_Chuan!$A$11:$J$91, 4, FALSE)</f>
        <v>VI. ĐÓNG GÓI, BÁO CÁO &amp; ĐÁNH GIÁ RUBRIC</v>
      </c>
      <c r="C39" s="16" t="str">
        <f>VLOOKUP($L$4&amp;"_"&amp;$A39, Khung_KeHoach_Chuan!$A$11:$J$91, 5, FALSE)</f>
        <v>Đóng gói mã nguồn, Demo package, Slide thuyết trình</v>
      </c>
      <c r="D39" s="32" t="str">
        <f>VLOOKUP($L$4&amp;"_"&amp;$A39, Khung_KeHoach_Chuan!$A$11:$J$91, 6, FALSE)</f>
        <v>Video demo hệ thống SDN/SD-WAN vận hành thực tế, source code sạch, slide</v>
      </c>
      <c r="E39" s="35"/>
      <c r="F39" s="15" t="str">
        <f>VLOOKUP($L$4&amp;"_"&amp;$A39, Khung_KeHoach_Chuan!$A$11:$J$91, 7, FALSE)</f>
        <v>2026-12-05</v>
      </c>
      <c r="G39" s="15" t="str">
        <f>VLOOKUP($L$4&amp;"_"&amp;$A39, Khung_KeHoach_Chuan!$A$11:$J$91, 8, FALSE)</f>
        <v>2026-12-15</v>
      </c>
      <c r="H39" s="14" t="str">
        <f>VLOOKUP($L$4&amp;"_"&amp;$A39, Khung_KeHoach_Chuan!$A$11:$J$91, 9, FALSE)</f>
        <v>Slide báo cáo + Source code package sạch</v>
      </c>
      <c r="I39" s="15" t="s">
        <v>518</v>
      </c>
      <c r="J39" s="14"/>
    </row>
    <row r="40" spans="1:10" ht="28.5">
      <c r="A40" s="9">
        <v>25</v>
      </c>
      <c r="B40" s="10" t="str">
        <f>VLOOKUP($L$4&amp;"_"&amp;$A40, Khung_KeHoach_Chuan!$A$11:$J$91, 4, FALSE)</f>
        <v>VI. ĐÓNG GÓI, BÁO CÁO &amp; ĐÁNH GIÁ RUBRIC</v>
      </c>
      <c r="C40" s="17" t="str">
        <f>VLOOKUP($L$4&amp;"_"&amp;$A40, Khung_KeHoach_Chuan!$A$11:$J$91, 5, FALSE)</f>
        <v>GVHD xác nhận duyệt cho sinh viên ra phản biện</v>
      </c>
      <c r="D40" s="33" t="str">
        <f>VLOOKUP($L$4&amp;"_"&amp;$A40, Khung_KeHoach_Chuan!$A$11:$J$91, 6, FALSE)</f>
        <v>ThS. Lê Viết Thanh xác nhận duyệt đủ điều kiện báo cáo với GVPB</v>
      </c>
      <c r="E40" s="35"/>
      <c r="F40" s="11" t="str">
        <f>VLOOKUP($L$4&amp;"_"&amp;$A40, Khung_KeHoach_Chuan!$A$11:$J$91, 7, FALSE)</f>
        <v>2026-11-29</v>
      </c>
      <c r="G40" s="11" t="str">
        <f>VLOOKUP($L$4&amp;"_"&amp;$A40, Khung_KeHoach_Chuan!$A$11:$J$91, 8, FALSE)</f>
        <v>2026-12-04</v>
      </c>
      <c r="H40" s="10" t="str">
        <f>VLOOKUP($L$4&amp;"_"&amp;$A40, Khung_KeHoach_Chuan!$A$11:$J$91, 9, FALSE)</f>
        <v>Xác nhận của GVHD trên hệ thống</v>
      </c>
      <c r="I40" s="11" t="s">
        <v>518</v>
      </c>
      <c r="J40" s="10"/>
    </row>
    <row r="41" spans="1:10" ht="28.5">
      <c r="A41" s="13">
        <v>26</v>
      </c>
      <c r="B41" s="14" t="str">
        <f>VLOOKUP($L$4&amp;"_"&amp;$A41, Khung_KeHoach_Chuan!$A$11:$J$91, 4, FALSE)</f>
        <v>VI. ĐÓNG GÓI, BÁO CÁO &amp; ĐÁNH GIÁ RUBRIC</v>
      </c>
      <c r="C41" s="16" t="str">
        <f>VLOOKUP($L$4&amp;"_"&amp;$A41, Khung_KeHoach_Chuan!$A$11:$J$91, 5, FALSE)</f>
        <v>Tập dượt thuyết trình &amp; Chuẩn bị câu hỏi phản biện</v>
      </c>
      <c r="D41" s="32" t="str">
        <f>VLOOKUP($L$4&amp;"_"&amp;$A41, Khung_KeHoach_Chuan!$A$11:$J$91, 6, FALSE)</f>
        <v>Trả lời câu hỏi về lựa chọn kiến trúc SDN/SD-WAN, thuật toán định tuyến, kết quả thực nghiệm</v>
      </c>
      <c r="E41" s="35"/>
      <c r="F41" s="15" t="str">
        <f>VLOOKUP($L$4&amp;"_"&amp;$A41, Khung_KeHoach_Chuan!$A$11:$J$91, 7, FALSE)</f>
        <v>2026-12-18</v>
      </c>
      <c r="G41" s="15" t="str">
        <f>VLOOKUP($L$4&amp;"_"&amp;$A41, Khung_KeHoach_Chuan!$A$11:$J$91, 8, FALSE)</f>
        <v>2026-12-25</v>
      </c>
      <c r="H41" s="14" t="str">
        <f>VLOOKUP($L$4&amp;"_"&amp;$A41, Khung_KeHoach_Chuan!$A$11:$J$91, 9, FALSE)</f>
        <v>Bộ câu hỏi Q&amp;A + Kịch bản demo trơn tru</v>
      </c>
      <c r="I41" s="15" t="s">
        <v>518</v>
      </c>
      <c r="J41" s="14"/>
    </row>
    <row r="42" spans="1:10" ht="28.5">
      <c r="A42" s="19">
        <v>27</v>
      </c>
      <c r="B42" s="21" t="str">
        <f>VLOOKUP($L$4&amp;"_"&amp;$A42, Khung_KeHoach_Chuan!$A$11:$J$91, 4, FALSE)</f>
        <v>VI. ĐÓNG GÓI, BÁO CÁO &amp; ĐÁNH GIÁ RUBRIC</v>
      </c>
      <c r="C42" s="31" t="str">
        <f>VLOOKUP($L$4&amp;"_"&amp;$A42, Khung_KeHoach_Chuan!$A$11:$J$91, 5, FALSE)</f>
        <v>BÁO CÁO VỚI GVPB &amp; NHẬP ĐIỂM RUBRIC</v>
      </c>
      <c r="D42" s="34" t="str">
        <f>VLOOKUP($L$4&amp;"_"&amp;$A42, Khung_KeHoach_Chuan!$A$11:$J$91, 6, FALSE)</f>
        <v>Báo cáo trực tiếp với GVPB; GVPB và GVHD thống nhất điểm trên Rubric</v>
      </c>
      <c r="E42" s="35"/>
      <c r="F42" s="20" t="str">
        <f>VLOOKUP($L$4&amp;"_"&amp;$A42, Khung_KeHoach_Chuan!$A$11:$J$91, 7, FALSE)</f>
        <v>2026-12-26</v>
      </c>
      <c r="G42" s="20" t="str">
        <f>VLOOKUP($L$4&amp;"_"&amp;$A42, Khung_KeHoach_Chuan!$A$11:$J$91, 8, FALSE)</f>
        <v>2026-12-31</v>
      </c>
      <c r="H42" s="21" t="str">
        <f>VLOOKUP($L$4&amp;"_"&amp;$A42, Khung_KeHoach_Chuan!$A$11:$J$91, 9, FALSE)</f>
        <v>Hoàn thành bảo vệ &amp; Điểm số Rubric chính thức</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400-000000000000}">
      <formula1>"Dự án CNTT,Đồ án tốt nghiệp,Khóa luận tốt nghiệp,Dự án + Đồ án,Dự án + Khóa luận"</formula1>
    </dataValidation>
    <dataValidation type="list" allowBlank="1" sqref="I16:I42" xr:uid="{00000000-0002-0000-0400-000001000000}">
      <formula1>"Chưa bắt đầu,Đang thực hiện,Hoàn thành,Tạm hoãn - Bị chặn"</formula1>
    </dataValidation>
    <dataValidation type="list" allowBlank="1" showInputMessage="1" showErrorMessage="1" sqref="C10" xr:uid="{BDCCC436-9CA2-46FB-A6E9-77C24F3F2087}">
      <formula1>"Dự án CNTT,Đồ án tốt nghiệp,Khóa luận tốt nghiệp"</formula1>
    </dataValidation>
    <dataValidation type="list" allowBlank="1" showInputMessage="1" showErrorMessage="1" sqref="I45:I71" xr:uid="{50AED6BB-ED7B-4796-AA18-5EF82B4BCC12}">
      <formula1>"Chưa bắt đầu,Đang thực hiện,Hoàn thành,Tạm hoãn - Bị chặn"</formula1>
    </dataValidation>
  </dataValidations>
  <hyperlinks>
    <hyperlink ref="C7" r:id="rId1" xr:uid="{E9B1FA79-FA04-4835-8BEC-7FB4F0AB9E8E}"/>
    <hyperlink ref="G7" r:id="rId2" xr:uid="{7884A083-7A03-4E16-868B-7CCF6F9CE7FC}"/>
  </hyperlinks>
  <pageMargins left="0.75" right="0.75" top="1" bottom="1" header="0" footer="0"/>
  <pageSetup orientation="landscape"/>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topLeftCell="E24" workbookViewId="0">
      <selection activeCell="D16" sqref="D16"/>
    </sheetView>
  </sheetViews>
  <sheetFormatPr defaultColWidth="14.42578125" defaultRowHeight="15" customHeight="1"/>
  <cols>
    <col min="1" max="1" width="16.42578125"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530</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45</v>
      </c>
      <c r="D4" s="1"/>
      <c r="E4" s="1"/>
      <c r="F4" s="22" t="s">
        <v>488</v>
      </c>
      <c r="G4" s="24" t="s">
        <v>489</v>
      </c>
      <c r="H4" s="1"/>
      <c r="I4" s="1"/>
      <c r="J4" s="38"/>
      <c r="L4" s="37" t="str">
        <f>IF(OR($C$4="Dự án + Đồ án",$C$4="Dự án + Khóa luận"),"Dự án CNTT",$C$4)</f>
        <v>Dự án CNTT</v>
      </c>
    </row>
    <row r="5" spans="1:12" ht="42.75">
      <c r="A5" s="17" t="s">
        <v>490</v>
      </c>
      <c r="B5" s="1"/>
      <c r="C5" s="86" t="s">
        <v>531</v>
      </c>
      <c r="D5" s="87"/>
      <c r="E5" s="87"/>
      <c r="F5" s="87"/>
      <c r="G5" s="87"/>
      <c r="H5" s="87"/>
      <c r="I5" s="88"/>
      <c r="J5" s="38"/>
    </row>
    <row r="6" spans="1:12" ht="71.25">
      <c r="A6" s="22" t="s">
        <v>492</v>
      </c>
      <c r="B6" s="1"/>
      <c r="C6" s="10" t="s">
        <v>532</v>
      </c>
      <c r="D6" s="1"/>
      <c r="E6" s="1"/>
      <c r="F6" s="22" t="s">
        <v>494</v>
      </c>
      <c r="G6" s="10" t="s">
        <v>533</v>
      </c>
      <c r="H6" s="1"/>
      <c r="I6" s="1"/>
      <c r="J6" s="38"/>
    </row>
    <row r="7" spans="1:12" ht="42.75">
      <c r="A7" s="22" t="s">
        <v>496</v>
      </c>
      <c r="B7" s="1"/>
      <c r="C7" s="25" t="s">
        <v>534</v>
      </c>
      <c r="D7" s="1"/>
      <c r="E7" s="1"/>
      <c r="F7" s="22" t="s">
        <v>498</v>
      </c>
      <c r="G7" s="40" t="s">
        <v>535</v>
      </c>
      <c r="H7" s="1"/>
      <c r="I7" s="1"/>
      <c r="J7" s="38"/>
    </row>
    <row r="8" spans="1:12" ht="42.75">
      <c r="A8" s="22" t="s">
        <v>500</v>
      </c>
      <c r="B8" s="1"/>
      <c r="C8" s="17" t="str">
        <f>VLOOKUP($L$4, Khung_KeHoach_Chuan!$A$5:$H$7, 2, FALSE)</f>
        <v>2026-08-24</v>
      </c>
      <c r="D8" s="1"/>
      <c r="E8" s="1"/>
      <c r="F8" s="22" t="s">
        <v>501</v>
      </c>
      <c r="G8" s="26" t="str">
        <f>VLOOKUP($L$4, Khung_KeHoach_Chuan!$A$5:$H$7, 4, FALSE)</f>
        <v>2026-11-20</v>
      </c>
      <c r="H8" s="1"/>
      <c r="I8" s="1"/>
      <c r="J8" s="38"/>
    </row>
    <row r="9" spans="1:12" ht="57">
      <c r="A9" s="22" t="s">
        <v>502</v>
      </c>
      <c r="B9" s="1"/>
      <c r="C9" s="26" t="str">
        <f>VLOOKUP($L$4, Khung_KeHoach_Chuan!$A$5:$H$7, 5, FALSE)</f>
        <v>2026-12-04</v>
      </c>
      <c r="D9" s="1"/>
      <c r="E9" s="1"/>
      <c r="F9" s="22" t="s">
        <v>503</v>
      </c>
      <c r="G9" s="27" t="str">
        <f>VLOOKUP($L$4, Khung_KeHoach_Chuan!$A$5:$H$7, 7, FALSE)</f>
        <v>26/12/2026 – 31/12/2026</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8</v>
      </c>
      <c r="C13" s="3">
        <f>COUNTIF(I16:I42, "Đang thực hiện") + IF($C$10&lt;&gt;"", COUNTIF(I45:I71, "Đang thực hiện"), 0)</f>
        <v>1</v>
      </c>
      <c r="D13" s="4">
        <f>COUNTIF(I16:I42, "Chưa bắt đầu") + IF($C$10&lt;&gt;"", COUNTIF(I45:I71, "Chưa bắt đầu"), 0)</f>
        <v>18</v>
      </c>
      <c r="E13" s="4"/>
      <c r="F13" s="29">
        <f>COUNTIF(I16:I42, "Tạm hoãn - Bị chặn") + IF($C$10&lt;&gt;"", COUNTIF(I45:I71, "Tạm hoãn - Bị chặn"), 0)</f>
        <v>0</v>
      </c>
      <c r="G13" s="28" t="str">
        <f>G8</f>
        <v>2026-11-20</v>
      </c>
      <c r="H13" s="30">
        <f>B13/A13</f>
        <v>0.29629629629629628</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42.75">
      <c r="A16" s="9">
        <v>1</v>
      </c>
      <c r="B16" s="10" t="str">
        <f>VLOOKUP($L$4&amp;"_"&amp;$A16, Khung_KeHoach_Chuan!$A$11:$J$91, 4, FALSE)</f>
        <v>I. ĐỊNH HƯỚNG &amp; PHƯƠNG PHÁP LUẬN</v>
      </c>
      <c r="C16" s="17" t="s">
        <v>536</v>
      </c>
      <c r="D16" s="33" t="s">
        <v>537</v>
      </c>
      <c r="E16" s="35"/>
      <c r="F16" s="11" t="str">
        <f>VLOOKUP($L$4&amp;"_"&amp;$A16, Khung_KeHoach_Chuan!$A$11:$J$91, 7, FALSE)</f>
        <v>2026-08-24</v>
      </c>
      <c r="G16" s="11" t="str">
        <f>VLOOKUP($L$4&amp;"_"&amp;$A16, Khung_KeHoach_Chuan!$A$11:$J$91, 8, FALSE)</f>
        <v>2026-08-28</v>
      </c>
      <c r="H16" s="10" t="s">
        <v>538</v>
      </c>
      <c r="I16" s="11" t="s">
        <v>517</v>
      </c>
      <c r="J16" s="10"/>
    </row>
    <row r="17" spans="1:10" ht="63" customHeight="1">
      <c r="A17" s="13">
        <v>2</v>
      </c>
      <c r="B17" s="14" t="str">
        <f>VLOOKUP($L$4&amp;"_"&amp;$A17, Khung_KeHoach_Chuan!$A$11:$J$91, 4, FALSE)</f>
        <v>I. ĐỊNH HƯỚNG &amp; PHƯƠNG PHÁP LUẬN</v>
      </c>
      <c r="C17" s="16" t="s">
        <v>539</v>
      </c>
      <c r="D17" s="32" t="s">
        <v>540</v>
      </c>
      <c r="E17" s="35"/>
      <c r="F17" s="15" t="str">
        <f>VLOOKUP($L$4&amp;"_"&amp;$A17, Khung_KeHoach_Chuan!$A$11:$J$91, 7, FALSE)</f>
        <v>2026-08-24</v>
      </c>
      <c r="G17" s="15" t="str">
        <f>VLOOKUP($L$4&amp;"_"&amp;$A17, Khung_KeHoach_Chuan!$A$11:$J$91, 8, FALSE)</f>
        <v>2026-09-02</v>
      </c>
      <c r="H17" s="14" t="s">
        <v>541</v>
      </c>
      <c r="I17" s="15" t="s">
        <v>517</v>
      </c>
      <c r="J17" s="14"/>
    </row>
    <row r="18" spans="1:10" ht="42.75">
      <c r="A18" s="9">
        <v>3</v>
      </c>
      <c r="B18" s="10" t="str">
        <f>VLOOKUP($L$4&amp;"_"&amp;$A18, Khung_KeHoach_Chuan!$A$11:$J$91, 4, FALSE)</f>
        <v>I. ĐỊNH HƯỚNG &amp; PHƯƠNG PHÁP LUẬN</v>
      </c>
      <c r="C18" s="17" t="s">
        <v>542</v>
      </c>
      <c r="D18" s="33" t="s">
        <v>543</v>
      </c>
      <c r="E18" s="35"/>
      <c r="F18" s="11" t="str">
        <f>VLOOKUP($L$4&amp;"_"&amp;$A18, Khung_KeHoach_Chuan!$A$11:$J$91, 7, FALSE)</f>
        <v>2026-08-28</v>
      </c>
      <c r="G18" s="11" t="str">
        <f>VLOOKUP($L$4&amp;"_"&amp;$A18, Khung_KeHoach_Chuan!$A$11:$J$91, 8, FALSE)</f>
        <v>2026-09-05</v>
      </c>
      <c r="H18" s="10" t="s">
        <v>544</v>
      </c>
      <c r="I18" s="11" t="s">
        <v>517</v>
      </c>
      <c r="J18" s="10"/>
    </row>
    <row r="19" spans="1:10" ht="42.75">
      <c r="A19" s="13">
        <v>4</v>
      </c>
      <c r="B19" s="14" t="str">
        <f>VLOOKUP($L$4&amp;"_"&amp;$A19, Khung_KeHoach_Chuan!$A$11:$J$91, 4, FALSE)</f>
        <v>I. ĐỊNH HƯỚNG &amp; PHƯƠNG PHÁP LUẬN</v>
      </c>
      <c r="C19" s="16" t="s">
        <v>545</v>
      </c>
      <c r="D19" s="32" t="s">
        <v>546</v>
      </c>
      <c r="E19" s="35"/>
      <c r="F19" s="15" t="str">
        <f>VLOOKUP($L$4&amp;"_"&amp;$A19, Khung_KeHoach_Chuan!$A$11:$J$91, 7, FALSE)</f>
        <v>2026-08-30</v>
      </c>
      <c r="G19" s="15" t="str">
        <f>VLOOKUP($L$4&amp;"_"&amp;$A19, Khung_KeHoach_Chuan!$A$11:$J$91, 8, FALSE)</f>
        <v>2026-09-05</v>
      </c>
      <c r="H19" s="14" t="s">
        <v>547</v>
      </c>
      <c r="I19" s="15" t="s">
        <v>517</v>
      </c>
      <c r="J19" s="14"/>
    </row>
    <row r="20" spans="1:10" ht="28.5">
      <c r="A20" s="9">
        <v>5</v>
      </c>
      <c r="B20" s="10" t="str">
        <f>VLOOKUP($L$4&amp;"_"&amp;$A20, Khung_KeHoach_Chuan!$A$11:$J$91, 4, FALSE)</f>
        <v>II. THIẾT KẾ &amp; CHUẨN BỊ</v>
      </c>
      <c r="C20" s="17" t="s">
        <v>548</v>
      </c>
      <c r="D20" s="33" t="s">
        <v>549</v>
      </c>
      <c r="E20" s="35"/>
      <c r="F20" s="11" t="str">
        <f>VLOOKUP($L$4&amp;"_"&amp;$A20, Khung_KeHoach_Chuan!$A$11:$J$91, 7, FALSE)</f>
        <v>2026-09-06</v>
      </c>
      <c r="G20" s="11" t="str">
        <f>VLOOKUP($L$4&amp;"_"&amp;$A20, Khung_KeHoach_Chuan!$A$11:$J$91, 8, FALSE)</f>
        <v>2026-09-12</v>
      </c>
      <c r="H20" s="10" t="s">
        <v>550</v>
      </c>
      <c r="I20" s="11" t="s">
        <v>517</v>
      </c>
      <c r="J20" s="10"/>
    </row>
    <row r="21" spans="1:10" ht="28.5">
      <c r="A21" s="13">
        <v>6</v>
      </c>
      <c r="B21" s="14" t="str">
        <f>VLOOKUP($L$4&amp;"_"&amp;$A21, Khung_KeHoach_Chuan!$A$11:$J$91, 4, FALSE)</f>
        <v>II. THIẾT KẾ &amp; CHUẨN BỊ</v>
      </c>
      <c r="C21" s="16" t="s">
        <v>551</v>
      </c>
      <c r="D21" s="32" t="s">
        <v>552</v>
      </c>
      <c r="E21" s="35"/>
      <c r="F21" s="15" t="str">
        <f>VLOOKUP($L$4&amp;"_"&amp;$A21, Khung_KeHoach_Chuan!$A$11:$J$91, 7, FALSE)</f>
        <v>2026-09-06</v>
      </c>
      <c r="G21" s="15" t="str">
        <f>VLOOKUP($L$4&amp;"_"&amp;$A21, Khung_KeHoach_Chuan!$A$11:$J$91, 8, FALSE)</f>
        <v>2026-09-12</v>
      </c>
      <c r="H21" s="14" t="s">
        <v>553</v>
      </c>
      <c r="I21" s="15" t="s">
        <v>517</v>
      </c>
      <c r="J21" s="14"/>
    </row>
    <row r="22" spans="1:10" ht="28.5">
      <c r="A22" s="9">
        <v>7</v>
      </c>
      <c r="B22" s="10" t="str">
        <f>VLOOKUP($L$4&amp;"_"&amp;$A22, Khung_KeHoach_Chuan!$A$11:$J$91, 4, FALSE)</f>
        <v>II. THIẾT KẾ &amp; CHUẨN BỊ</v>
      </c>
      <c r="C22" s="17" t="s">
        <v>554</v>
      </c>
      <c r="D22" s="33" t="s">
        <v>555</v>
      </c>
      <c r="E22" s="35"/>
      <c r="F22" s="11" t="str">
        <f>VLOOKUP($L$4&amp;"_"&amp;$A22, Khung_KeHoach_Chuan!$A$11:$J$91, 7, FALSE)</f>
        <v>2026-09-13</v>
      </c>
      <c r="G22" s="11" t="str">
        <f>VLOOKUP($L$4&amp;"_"&amp;$A22, Khung_KeHoach_Chuan!$A$11:$J$91, 8, FALSE)</f>
        <v>2026-09-19</v>
      </c>
      <c r="H22" s="10" t="s">
        <v>556</v>
      </c>
      <c r="I22" s="11" t="s">
        <v>517</v>
      </c>
      <c r="J22" s="10"/>
    </row>
    <row r="23" spans="1:10" ht="28.5">
      <c r="A23" s="13">
        <v>8</v>
      </c>
      <c r="B23" s="14" t="str">
        <f>VLOOKUP($L$4&amp;"_"&amp;$A23, Khung_KeHoach_Chuan!$A$11:$J$91, 4, FALSE)</f>
        <v>II. THIẾT KẾ &amp; CHUẨN BỊ</v>
      </c>
      <c r="C23" s="16" t="s">
        <v>557</v>
      </c>
      <c r="D23" s="32" t="s">
        <v>558</v>
      </c>
      <c r="E23" s="35"/>
      <c r="F23" s="15" t="str">
        <f>VLOOKUP($L$4&amp;"_"&amp;$A23, Khung_KeHoach_Chuan!$A$11:$J$91, 7, FALSE)</f>
        <v>2026-09-13</v>
      </c>
      <c r="G23" s="15" t="str">
        <f>VLOOKUP($L$4&amp;"_"&amp;$A23, Khung_KeHoach_Chuan!$A$11:$J$91, 8, FALSE)</f>
        <v>2026-09-19</v>
      </c>
      <c r="H23" s="14" t="s">
        <v>559</v>
      </c>
      <c r="I23" s="15" t="s">
        <v>517</v>
      </c>
      <c r="J23" s="14"/>
    </row>
    <row r="24" spans="1:10" ht="42.75">
      <c r="A24" s="9">
        <v>9</v>
      </c>
      <c r="B24" s="10" t="str">
        <f>VLOOKUP($L$4&amp;"_"&amp;$A24, Khung_KeHoach_Chuan!$A$11:$J$91, 4, FALSE)</f>
        <v>III. TRIỂN KHAI / THỰC NGHIỆM</v>
      </c>
      <c r="C24" s="17" t="s">
        <v>560</v>
      </c>
      <c r="D24" s="33" t="s">
        <v>561</v>
      </c>
      <c r="E24" s="35"/>
      <c r="F24" s="11" t="str">
        <f>VLOOKUP($L$4&amp;"_"&amp;$A24, Khung_KeHoach_Chuan!$A$11:$J$91, 7, FALSE)</f>
        <v>2026-09-20</v>
      </c>
      <c r="G24" s="11" t="str">
        <f>VLOOKUP($L$4&amp;"_"&amp;$A24, Khung_KeHoach_Chuan!$A$11:$J$91, 8, FALSE)</f>
        <v>2026-09-26</v>
      </c>
      <c r="H24" s="10" t="s">
        <v>562</v>
      </c>
      <c r="I24" s="11" t="s">
        <v>529</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
        <v>563</v>
      </c>
      <c r="E25" s="35"/>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518</v>
      </c>
      <c r="J25" s="21"/>
    </row>
    <row r="26" spans="1:10" ht="42.75">
      <c r="A26" s="9">
        <v>11</v>
      </c>
      <c r="B26" s="10" t="str">
        <f>VLOOKUP($L$4&amp;"_"&amp;$A26, Khung_KeHoach_Chuan!$A$11:$J$91, 4, FALSE)</f>
        <v>III. TRIỂN KHAI / THỰC NGHIỆM</v>
      </c>
      <c r="C26" s="17" t="str">
        <f>VLOOKUP($L$4&amp;"_"&amp;$A26, Khung_KeHoach_Chuan!$A$11:$J$91, 5, FALSE)</f>
        <v>Phát triển hoàn thiện module định tuyến &amp; chính sách điều khiển</v>
      </c>
      <c r="D26" s="33" t="s">
        <v>564</v>
      </c>
      <c r="E26" s="35"/>
      <c r="F26" s="11" t="str">
        <f>VLOOKUP($L$4&amp;"_"&amp;$A26, Khung_KeHoach_Chuan!$A$11:$J$91, 7, FALSE)</f>
        <v>2026-10-05</v>
      </c>
      <c r="G26" s="11" t="str">
        <f>VLOOKUP($L$4&amp;"_"&amp;$A26, Khung_KeHoach_Chuan!$A$11:$J$91, 8, FALSE)</f>
        <v>2026-10-18</v>
      </c>
      <c r="H26" s="10" t="s">
        <v>565</v>
      </c>
      <c r="I26" s="11" t="s">
        <v>518</v>
      </c>
      <c r="J26" s="10"/>
    </row>
    <row r="27" spans="1:10" ht="42.75">
      <c r="A27" s="13">
        <v>12</v>
      </c>
      <c r="B27" s="14" t="str">
        <f>VLOOKUP($L$4&amp;"_"&amp;$A27, Khung_KeHoach_Chuan!$A$11:$J$91, 4, FALSE)</f>
        <v>III. TRIỂN KHAI / THỰC NGHIỆM</v>
      </c>
      <c r="C27" s="16" t="str">
        <f>VLOOKUP($L$4&amp;"_"&amp;$A27, Khung_KeHoach_Chuan!$A$11:$J$91, 5, FALSE)</f>
        <v>Tích hợp toàn bộ hệ thống &amp; đồng bộ cấu hình mạng</v>
      </c>
      <c r="D27" s="32" t="s">
        <v>566</v>
      </c>
      <c r="E27" s="35"/>
      <c r="F27" s="15" t="str">
        <f>VLOOKUP($L$4&amp;"_"&amp;$A27, Khung_KeHoach_Chuan!$A$11:$J$91, 7, FALSE)</f>
        <v>2026-10-19</v>
      </c>
      <c r="G27" s="15" t="str">
        <f>VLOOKUP($L$4&amp;"_"&amp;$A27, Khung_KeHoach_Chuan!$A$11:$J$91, 8, FALSE)</f>
        <v>2026-10-25</v>
      </c>
      <c r="H27" s="14" t="s">
        <v>567</v>
      </c>
      <c r="I27" s="15" t="s">
        <v>518</v>
      </c>
      <c r="J27" s="14"/>
    </row>
    <row r="28" spans="1:10" ht="42.75">
      <c r="A28" s="9">
        <v>13</v>
      </c>
      <c r="B28" s="10" t="str">
        <f>VLOOKUP($L$4&amp;"_"&amp;$A28, Khung_KeHoach_Chuan!$A$11:$J$91, 4, FALSE)</f>
        <v>III. TRIỂN KHAI / THỰC NGHIỆM</v>
      </c>
      <c r="C28" s="17" t="str">
        <f>VLOOKUP($L$4&amp;"_"&amp;$A28, Khung_KeHoach_Chuan!$A$11:$J$91, 5, FALSE)</f>
        <v>Duy trì Technical Log, Commit history &amp; Bằng chứng</v>
      </c>
      <c r="D28" s="33" t="s">
        <v>568</v>
      </c>
      <c r="E28" s="35"/>
      <c r="F28" s="11" t="str">
        <f>VLOOKUP($L$4&amp;"_"&amp;$A28, Khung_KeHoach_Chuan!$A$11:$J$91, 7, FALSE)</f>
        <v>2026-09-20</v>
      </c>
      <c r="G28" s="11" t="str">
        <f>VLOOKUP($L$4&amp;"_"&amp;$A28, Khung_KeHoach_Chuan!$A$11:$J$91, 8, FALSE)</f>
        <v>2026-10-31</v>
      </c>
      <c r="H28" s="10" t="s">
        <v>569</v>
      </c>
      <c r="I28" s="11" t="s">
        <v>518</v>
      </c>
      <c r="J28" s="10"/>
    </row>
    <row r="29" spans="1:10" ht="28.5">
      <c r="A29" s="13">
        <v>14</v>
      </c>
      <c r="B29" s="14" t="str">
        <f>VLOOKUP($L$4&amp;"_"&amp;$A29, Khung_KeHoach_Chuan!$A$11:$J$91, 4, FALSE)</f>
        <v>IV. KIỂM THỬ &amp; ĐÁNH GIÁ</v>
      </c>
      <c r="C29" s="16" t="str">
        <f>VLOOKUP($L$4&amp;"_"&amp;$A29, Khung_KeHoach_Chuan!$A$11:$J$91, 5, FALSE)</f>
        <v>Thực thi kiểm thử chức năng hệ thống SDN/SD-WAN</v>
      </c>
      <c r="D29" s="32" t="str">
        <f>VLOOKUP($L$4&amp;"_"&amp;$A29, Khung_KeHoach_Chuan!$A$11:$J$91, 6, FALSE)</f>
        <v>Kiểm tra định tuyến, failover, chính sách QoS, khả năng phản hồi controller</v>
      </c>
      <c r="E29" s="35"/>
      <c r="F29" s="15" t="str">
        <f>VLOOKUP($L$4&amp;"_"&amp;$A29, Khung_KeHoach_Chuan!$A$11:$J$91, 7, FALSE)</f>
        <v>2026-10-26</v>
      </c>
      <c r="G29" s="15" t="str">
        <f>VLOOKUP($L$4&amp;"_"&amp;$A29, Khung_KeHoach_Chuan!$A$11:$J$91, 8, FALSE)</f>
        <v>2026-11-01</v>
      </c>
      <c r="H29" s="14" t="str">
        <f>VLOOKUP($L$4&amp;"_"&amp;$A29, Khung_KeHoach_Chuan!$A$11:$J$91, 9, FALSE)</f>
        <v>Bảng kết quả test chi tiết + Danh sách lỗi đã xử lý</v>
      </c>
      <c r="I29" s="15" t="s">
        <v>518</v>
      </c>
      <c r="J29" s="14"/>
    </row>
    <row r="30" spans="1:10" ht="28.5">
      <c r="A30" s="9">
        <v>15</v>
      </c>
      <c r="B30" s="10" t="str">
        <f>VLOOKUP($L$4&amp;"_"&amp;$A30, Khung_KeHoach_Chuan!$A$11:$J$91, 4, FALSE)</f>
        <v>IV. KIỂM THỬ &amp; ĐÁNH GIÁ</v>
      </c>
      <c r="C30" s="17" t="str">
        <f>VLOOKUP($L$4&amp;"_"&amp;$A30, Khung_KeHoach_Chuan!$A$11:$J$91, 5, FALSE)</f>
        <v>Kiểm thử hiệu năng, độ trễ &amp; khả năng mở rộng hệ thống</v>
      </c>
      <c r="D30" s="33" t="str">
        <f>VLOOKUP($L$4&amp;"_"&amp;$A30, Khung_KeHoach_Chuan!$A$11:$J$91, 6, FALSE)</f>
        <v>Đo độ trễ xử lý (latency), thông lượng (throughput), khả năng chịu tải</v>
      </c>
      <c r="E30" s="35"/>
      <c r="F30" s="11" t="str">
        <f>VLOOKUP($L$4&amp;"_"&amp;$A30, Khung_KeHoach_Chuan!$A$11:$J$91, 7, FALSE)</f>
        <v>2026-11-02</v>
      </c>
      <c r="G30" s="11" t="str">
        <f>VLOOKUP($L$4&amp;"_"&amp;$A30, Khung_KeHoach_Chuan!$A$11:$J$91, 8, FALSE)</f>
        <v>2026-11-08</v>
      </c>
      <c r="H30" s="10" t="str">
        <f>VLOOKUP($L$4&amp;"_"&amp;$A30, Khung_KeHoach_Chuan!$A$11:$J$91, 9, FALSE)</f>
        <v>Báo cáo Performance &amp; Scalability testing</v>
      </c>
      <c r="I30" s="11" t="s">
        <v>518</v>
      </c>
      <c r="J30" s="10"/>
    </row>
    <row r="31" spans="1:10" ht="28.5">
      <c r="A31" s="13">
        <v>16</v>
      </c>
      <c r="B31" s="14" t="str">
        <f>VLOOKUP($L$4&amp;"_"&amp;$A31, Khung_KeHoach_Chuan!$A$11:$J$91, 4, FALSE)</f>
        <v>IV. KIỂM THỬ &amp; ĐÁNH GIÁ</v>
      </c>
      <c r="C31" s="16" t="str">
        <f>VLOOKUP($L$4&amp;"_"&amp;$A31, Khung_KeHoach_Chuan!$A$11:$J$91, 5, FALSE)</f>
        <v>Tổng hợp số liệu thực nghiệm &amp; biểu đồ đánh giá hệ thống</v>
      </c>
      <c r="D31" s="32" t="str">
        <f>VLOOKUP($L$4&amp;"_"&amp;$A31, Khung_KeHoach_Chuan!$A$11:$J$91, 6, FALSE)</f>
        <v>Độ trễ định tuyến, thông lượng, tỷ lệ mất gói, so sánh trước/sau khi áp dụng SDN</v>
      </c>
      <c r="E31" s="35"/>
      <c r="F31" s="15" t="str">
        <f>VLOOKUP($L$4&amp;"_"&amp;$A31, Khung_KeHoach_Chuan!$A$11:$J$91, 7, FALSE)</f>
        <v>2026-11-09</v>
      </c>
      <c r="G31" s="15" t="str">
        <f>VLOOKUP($L$4&amp;"_"&amp;$A31, Khung_KeHoach_Chuan!$A$11:$J$91, 8, FALSE)</f>
        <v>2026-11-15</v>
      </c>
      <c r="H31" s="14" t="str">
        <f>VLOOKUP($L$4&amp;"_"&amp;$A31, Khung_KeHoach_Chuan!$A$11:$J$91, 9, FALSE)</f>
        <v>Bộ biểu đồ kết quả + Bảng so sánh hiệu quả mạng truyền thống và SDN</v>
      </c>
      <c r="I31" s="15" t="s">
        <v>518</v>
      </c>
      <c r="J31" s="14"/>
    </row>
    <row r="32" spans="1:10">
      <c r="A32" s="9">
        <v>17</v>
      </c>
      <c r="B32" s="10" t="str">
        <f>VLOOKUP($L$4&amp;"_"&amp;$A32, Khung_KeHoach_Chuan!$A$11:$J$91, 4, FALSE)</f>
        <v>IV. KIỂM THỬ &amp; ĐÁNH GIÁ</v>
      </c>
      <c r="C32" s="17" t="str">
        <f>VLOOKUP($L$4&amp;"_"&amp;$A32, Khung_KeHoach_Chuan!$A$11:$J$91, 5, FALSE)</f>
        <v>Đánh giá đạt mục tiêu &amp; ghi nhận hạn chế</v>
      </c>
      <c r="D32" s="33" t="str">
        <f>VLOOKUP($L$4&amp;"_"&amp;$A32, Khung_KeHoach_Chuan!$A$11:$J$91, 6, FALSE)</f>
        <v>Đối chiếu mục tiêu ban đầu, chỉ ra hạn chế &amp; đề xuất hướng cải tiến</v>
      </c>
      <c r="E32" s="35"/>
      <c r="F32" s="11" t="str">
        <f>VLOOKUP($L$4&amp;"_"&amp;$A32, Khung_KeHoach_Chuan!$A$11:$J$91, 7, FALSE)</f>
        <v>2026-11-12</v>
      </c>
      <c r="G32" s="11" t="str">
        <f>VLOOKUP($L$4&amp;"_"&amp;$A32, Khung_KeHoach_Chuan!$A$11:$J$91, 8, FALSE)</f>
        <v>2026-11-18</v>
      </c>
      <c r="H32" s="10" t="str">
        <f>VLOOKUP($L$4&amp;"_"&amp;$A32, Khung_KeHoach_Chuan!$A$11:$J$91, 9, FALSE)</f>
        <v>Bảng đối chiếu mục tiêu - kết quả đạt được</v>
      </c>
      <c r="I32" s="11" t="s">
        <v>518</v>
      </c>
      <c r="J32" s="10"/>
    </row>
    <row r="33" spans="1:10" ht="28.5">
      <c r="A33" s="13">
        <v>18</v>
      </c>
      <c r="B33" s="14" t="str">
        <f>VLOOKUP($L$4&amp;"_"&amp;$A33, Khung_KeHoach_Chuan!$A$11:$J$91, 4, FALSE)</f>
        <v>V. VIẾT &amp; HOÀN THIỆN BÁO CÁO</v>
      </c>
      <c r="C33" s="16" t="str">
        <f>VLOOKUP($L$4&amp;"_"&amp;$A33, Khung_KeHoach_Chuan!$A$11:$J$91, 5, FALSE)</f>
        <v>Xây dựng dàn ý &amp; viết chương mở đầu, cơ sở lý thuyết</v>
      </c>
      <c r="D33" s="32" t="str">
        <f>VLOOKUP($L$4&amp;"_"&amp;$A33, Khung_KeHoach_Chuan!$A$11:$J$91, 6, FALSE)</f>
        <v>Tổng quan SDN/SD-WAN, cơ sở lý thuyết định tuyến/điều khiển mạng, phát biểu bài toán</v>
      </c>
      <c r="E33" s="35"/>
      <c r="F33" s="15" t="str">
        <f>VLOOKUP($L$4&amp;"_"&amp;$A33, Khung_KeHoach_Chuan!$A$11:$J$91, 7, FALSE)</f>
        <v>2026-10-26</v>
      </c>
      <c r="G33" s="15" t="str">
        <f>VLOOKUP($L$4&amp;"_"&amp;$A33, Khung_KeHoach_Chuan!$A$11:$J$91, 8, FALSE)</f>
        <v>2026-11-08</v>
      </c>
      <c r="H33" s="14" t="str">
        <f>VLOOKUP($L$4&amp;"_"&amp;$A33, Khung_KeHoach_Chuan!$A$11:$J$91, 9, FALSE)</f>
        <v>Bản thảo Chương 1, 2, 3 hoàn chỉnh</v>
      </c>
      <c r="I33" s="15" t="s">
        <v>518</v>
      </c>
      <c r="J33" s="14"/>
    </row>
    <row r="34" spans="1:10" ht="28.5">
      <c r="A34" s="9">
        <v>19</v>
      </c>
      <c r="B34" s="10" t="str">
        <f>VLOOKUP($L$4&amp;"_"&amp;$A34, Khung_KeHoach_Chuan!$A$11:$J$91, 4, FALSE)</f>
        <v>V. VIẾT &amp; HOÀN THIỆN BÁO CÁO</v>
      </c>
      <c r="C34" s="17" t="str">
        <f>VLOOKUP($L$4&amp;"_"&amp;$A34, Khung_KeHoach_Chuan!$A$11:$J$91, 5, FALSE)</f>
        <v>Viết chương thiết kế hệ thống, triển khai &amp; kết quả thực nghiệm</v>
      </c>
      <c r="D34" s="33" t="str">
        <f>VLOOKUP($L$4&amp;"_"&amp;$A34, Khung_KeHoach_Chuan!$A$11:$J$91, 6, FALSE)</f>
        <v>Kiến trúc mạng, luồng điều khiển, kết quả thực nghiệm, biểu đồ minh họa</v>
      </c>
      <c r="E34" s="35"/>
      <c r="F34" s="11" t="str">
        <f>VLOOKUP($L$4&amp;"_"&amp;$A34, Khung_KeHoach_Chuan!$A$11:$J$91, 7, FALSE)</f>
        <v>2026-11-09</v>
      </c>
      <c r="G34" s="11" t="str">
        <f>VLOOKUP($L$4&amp;"_"&amp;$A34, Khung_KeHoach_Chuan!$A$11:$J$91, 8, FALSE)</f>
        <v>2026-11-18</v>
      </c>
      <c r="H34" s="10" t="str">
        <f>VLOOKUP($L$4&amp;"_"&amp;$A34, Khung_KeHoach_Chuan!$A$11:$J$91, 9, FALSE)</f>
        <v>Bản thảo Chương 4, 5 đầy đủ sơ đồ và số liệu</v>
      </c>
      <c r="I34" s="11" t="s">
        <v>518</v>
      </c>
      <c r="J34" s="10"/>
    </row>
    <row r="35" spans="1:10" ht="28.5">
      <c r="A35" s="13">
        <v>20</v>
      </c>
      <c r="B35" s="14" t="str">
        <f>VLOOKUP($L$4&amp;"_"&amp;$A35, Khung_KeHoach_Chuan!$A$11:$J$91, 4, FALSE)</f>
        <v>V. VIẾT &amp; HOÀN THIỆN BÁO CÁO</v>
      </c>
      <c r="C35" s="16" t="str">
        <f>VLOOKUP($L$4&amp;"_"&amp;$A35, Khung_KeHoach_Chuan!$A$11:$J$91, 5, FALSE)</f>
        <v>Hoàn thiện bản thảo toàn văn (Draft 100%)</v>
      </c>
      <c r="D35" s="32" t="str">
        <f>VLOOKUP($L$4&amp;"_"&amp;$A35, Khung_KeHoach_Chuan!$A$11:$J$91, 6, FALSE)</f>
        <v>Ghép nối toàn bộ nội dung, rà soát nhất quán thuật ngữ SDN/SD-WAN</v>
      </c>
      <c r="E35" s="35"/>
      <c r="F35" s="15" t="str">
        <f>VLOOKUP($L$4&amp;"_"&amp;$A35, Khung_KeHoach_Chuan!$A$11:$J$91, 7, FALSE)</f>
        <v>2026-11-16</v>
      </c>
      <c r="G35" s="15" t="str">
        <f>VLOOKUP($L$4&amp;"_"&amp;$A35, Khung_KeHoach_Chuan!$A$11:$J$91, 8, FALSE)</f>
        <v>2026-11-20</v>
      </c>
      <c r="H35" s="14" t="str">
        <f>VLOOKUP($L$4&amp;"_"&amp;$A35, Khung_KeHoach_Chuan!$A$11:$J$91, 9, FALSE)</f>
        <v>Bản thảo báo cáo toàn văn 100%</v>
      </c>
      <c r="I35" s="15" t="s">
        <v>518</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chỉnh sửa hoàn thiện</v>
      </c>
      <c r="D36" s="33" t="str">
        <f>VLOOKUP($L$4&amp;"_"&amp;$A36, Khung_KeHoach_Chuan!$A$11:$J$91, 6, FALSE)</f>
        <v>GVHD góp ý tính đúng đắn kỹ thuật mạng, chỉnh sửa văn phong</v>
      </c>
      <c r="E36" s="35"/>
      <c r="F36" s="11" t="str">
        <f>VLOOKUP($L$4&amp;"_"&amp;$A36, Khung_KeHoach_Chuan!$A$11:$J$91, 7, FALSE)</f>
        <v>2026-11-18</v>
      </c>
      <c r="G36" s="11" t="str">
        <f>VLOOKUP($L$4&amp;"_"&amp;$A36, Khung_KeHoach_Chuan!$A$11:$J$91, 8, FALSE)</f>
        <v>2026-11-20</v>
      </c>
      <c r="H36" s="10" t="str">
        <f>VLOOKUP($L$4&amp;"_"&amp;$A36, Khung_KeHoach_Chuan!$A$11:$J$91, 9, FALSE)</f>
        <v>Biên bản phản hồi góp ý + Bản sửa lần cuối</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(FINAL REPORT)</v>
      </c>
      <c r="D37" s="34" t="str">
        <f>VLOOKUP($L$4&amp;"_"&amp;$A37, Khung_KeHoach_Chuan!$A$11:$J$91, 6, FALSE)</f>
        <v>Khóa nội dung, kiểm tra định dạng chuẩn TDTU, xuất PDF hoàn chỉnh</v>
      </c>
      <c r="E37" s="35"/>
      <c r="F37" s="20" t="str">
        <f>VLOOKUP($L$4&amp;"_"&amp;$A37, Khung_KeHoach_Chuan!$A$11:$J$91, 7, FALSE)</f>
        <v>2026-11-20</v>
      </c>
      <c r="G37" s="20" t="str">
        <f>VLOOKUP($L$4&amp;"_"&amp;$A37, Khung_KeHoach_Chuan!$A$11:$J$91, 8, FALSE)</f>
        <v>2026-11-20</v>
      </c>
      <c r="H37" s="21" t="str">
        <f>VLOOKUP($L$4&amp;"_"&amp;$A37, Khung_KeHoach_Chuan!$A$11:$J$91, 9, FALSE)</f>
        <v>BÁO CÁO SẠCH FINAL READY TO SUBMIT</v>
      </c>
      <c r="I37" s="20" t="s">
        <v>518</v>
      </c>
      <c r="J37" s="21"/>
    </row>
    <row r="38" spans="1:10" ht="28.5">
      <c r="A38" s="19">
        <v>23</v>
      </c>
      <c r="B38" s="21" t="str">
        <f>VLOOKUP($L$4&amp;"_"&amp;$A38, Khung_KeHoach_Chuan!$A$11:$J$91, 4, FALSE)</f>
        <v>VI. ĐÓNG GÓI, BÁO CÁO &amp; ĐÁNH GIÁ RUBRIC</v>
      </c>
      <c r="C38" s="31" t="str">
        <f>VLOOKUP($L$4&amp;"_"&amp;$A38, Khung_KeHoach_Chuan!$A$11:$J$91, 5, FALSE)</f>
        <v>NỘP BÁO CÁO CUỐI KỲ (TURNITIN + ELIT)</v>
      </c>
      <c r="D38" s="34" t="str">
        <f>VLOOKUP($L$4&amp;"_"&amp;$A38, Khung_KeHoach_Chuan!$A$11:$J$91, 6, FALSE)</f>
        <v>Nộp file check đạo văn Turnitin + nộp hệ thống ELIT theo quy định Khoa</v>
      </c>
      <c r="E38" s="35"/>
      <c r="F38" s="20" t="str">
        <f>VLOOKUP($L$4&amp;"_"&amp;$A38, Khung_KeHoach_Chuan!$A$11:$J$91, 7, FALSE)</f>
        <v>2026-11-24</v>
      </c>
      <c r="G38" s="20" t="str">
        <f>VLOOKUP($L$4&amp;"_"&amp;$A38, Khung_KeHoach_Chuan!$A$11:$J$91, 8, FALSE)</f>
        <v>2026-12-04</v>
      </c>
      <c r="H38" s="21" t="str">
        <f>VLOOKUP($L$4&amp;"_"&amp;$A38, Khung_KeHoach_Chuan!$A$11:$J$91, 9, FALSE)</f>
        <v>Xác nhận nộp bài thành công trên ELIT &amp; Turnitin</v>
      </c>
      <c r="I38" s="20" t="s">
        <v>518</v>
      </c>
      <c r="J38" s="21"/>
    </row>
    <row r="39" spans="1:10" ht="28.5">
      <c r="A39" s="13">
        <v>24</v>
      </c>
      <c r="B39" s="14" t="str">
        <f>VLOOKUP($L$4&amp;"_"&amp;$A39, Khung_KeHoach_Chuan!$A$11:$J$91, 4, FALSE)</f>
        <v>VI. ĐÓNG GÓI, BÁO CÁO &amp; ĐÁNH GIÁ RUBRIC</v>
      </c>
      <c r="C39" s="16" t="str">
        <f>VLOOKUP($L$4&amp;"_"&amp;$A39, Khung_KeHoach_Chuan!$A$11:$J$91, 5, FALSE)</f>
        <v>Đóng gói mã nguồn, Demo package, Slide thuyết trình</v>
      </c>
      <c r="D39" s="32" t="str">
        <f>VLOOKUP($L$4&amp;"_"&amp;$A39, Khung_KeHoach_Chuan!$A$11:$J$91, 6, FALSE)</f>
        <v>Video demo hệ thống SDN/SD-WAN vận hành thực tế, source code sạch, slide</v>
      </c>
      <c r="E39" s="35"/>
      <c r="F39" s="15" t="str">
        <f>VLOOKUP($L$4&amp;"_"&amp;$A39, Khung_KeHoach_Chuan!$A$11:$J$91, 7, FALSE)</f>
        <v>2026-12-05</v>
      </c>
      <c r="G39" s="15" t="str">
        <f>VLOOKUP($L$4&amp;"_"&amp;$A39, Khung_KeHoach_Chuan!$A$11:$J$91, 8, FALSE)</f>
        <v>2026-12-15</v>
      </c>
      <c r="H39" s="14" t="str">
        <f>VLOOKUP($L$4&amp;"_"&amp;$A39, Khung_KeHoach_Chuan!$A$11:$J$91, 9, FALSE)</f>
        <v>Slide báo cáo + Source code package sạch</v>
      </c>
      <c r="I39" s="15" t="s">
        <v>518</v>
      </c>
      <c r="J39" s="14"/>
    </row>
    <row r="40" spans="1:10" ht="28.5">
      <c r="A40" s="9">
        <v>25</v>
      </c>
      <c r="B40" s="10" t="str">
        <f>VLOOKUP($L$4&amp;"_"&amp;$A40, Khung_KeHoach_Chuan!$A$11:$J$91, 4, FALSE)</f>
        <v>VI. ĐÓNG GÓI, BÁO CÁO &amp; ĐÁNH GIÁ RUBRIC</v>
      </c>
      <c r="C40" s="17" t="str">
        <f>VLOOKUP($L$4&amp;"_"&amp;$A40, Khung_KeHoach_Chuan!$A$11:$J$91, 5, FALSE)</f>
        <v>GVHD xác nhận duyệt cho sinh viên ra phản biện</v>
      </c>
      <c r="D40" s="33" t="str">
        <f>VLOOKUP($L$4&amp;"_"&amp;$A40, Khung_KeHoach_Chuan!$A$11:$J$91, 6, FALSE)</f>
        <v>ThS. Lê Viết Thanh xác nhận duyệt đủ điều kiện báo cáo với GVPB</v>
      </c>
      <c r="E40" s="35"/>
      <c r="F40" s="11" t="str">
        <f>VLOOKUP($L$4&amp;"_"&amp;$A40, Khung_KeHoach_Chuan!$A$11:$J$91, 7, FALSE)</f>
        <v>2026-11-29</v>
      </c>
      <c r="G40" s="11" t="str">
        <f>VLOOKUP($L$4&amp;"_"&amp;$A40, Khung_KeHoach_Chuan!$A$11:$J$91, 8, FALSE)</f>
        <v>2026-12-04</v>
      </c>
      <c r="H40" s="10" t="str">
        <f>VLOOKUP($L$4&amp;"_"&amp;$A40, Khung_KeHoach_Chuan!$A$11:$J$91, 9, FALSE)</f>
        <v>Xác nhận của GVHD trên hệ thống</v>
      </c>
      <c r="I40" s="11" t="s">
        <v>518</v>
      </c>
      <c r="J40" s="10"/>
    </row>
    <row r="41" spans="1:10" ht="28.5">
      <c r="A41" s="13">
        <v>26</v>
      </c>
      <c r="B41" s="14" t="str">
        <f>VLOOKUP($L$4&amp;"_"&amp;$A41, Khung_KeHoach_Chuan!$A$11:$J$91, 4, FALSE)</f>
        <v>VI. ĐÓNG GÓI, BÁO CÁO &amp; ĐÁNH GIÁ RUBRIC</v>
      </c>
      <c r="C41" s="16" t="str">
        <f>VLOOKUP($L$4&amp;"_"&amp;$A41, Khung_KeHoach_Chuan!$A$11:$J$91, 5, FALSE)</f>
        <v>Tập dượt thuyết trình &amp; Chuẩn bị câu hỏi phản biện</v>
      </c>
      <c r="D41" s="32" t="str">
        <f>VLOOKUP($L$4&amp;"_"&amp;$A41, Khung_KeHoach_Chuan!$A$11:$J$91, 6, FALSE)</f>
        <v>Trả lời câu hỏi về lựa chọn kiến trúc SDN/SD-WAN, thuật toán định tuyến, kết quả thực nghiệm</v>
      </c>
      <c r="E41" s="35"/>
      <c r="F41" s="15" t="str">
        <f>VLOOKUP($L$4&amp;"_"&amp;$A41, Khung_KeHoach_Chuan!$A$11:$J$91, 7, FALSE)</f>
        <v>2026-12-18</v>
      </c>
      <c r="G41" s="15" t="str">
        <f>VLOOKUP($L$4&amp;"_"&amp;$A41, Khung_KeHoach_Chuan!$A$11:$J$91, 8, FALSE)</f>
        <v>2026-12-25</v>
      </c>
      <c r="H41" s="14" t="str">
        <f>VLOOKUP($L$4&amp;"_"&amp;$A41, Khung_KeHoach_Chuan!$A$11:$J$91, 9, FALSE)</f>
        <v>Bộ câu hỏi Q&amp;A + Kịch bản demo trơn tru</v>
      </c>
      <c r="I41" s="15" t="s">
        <v>518</v>
      </c>
      <c r="J41" s="14"/>
    </row>
    <row r="42" spans="1:10" ht="28.5">
      <c r="A42" s="19">
        <v>27</v>
      </c>
      <c r="B42" s="21" t="str">
        <f>VLOOKUP($L$4&amp;"_"&amp;$A42, Khung_KeHoach_Chuan!$A$11:$J$91, 4, FALSE)</f>
        <v>VI. ĐÓNG GÓI, BÁO CÁO &amp; ĐÁNH GIÁ RUBRIC</v>
      </c>
      <c r="C42" s="31" t="str">
        <f>VLOOKUP($L$4&amp;"_"&amp;$A42, Khung_KeHoach_Chuan!$A$11:$J$91, 5, FALSE)</f>
        <v>BÁO CÁO VỚI GVPB &amp; NHẬP ĐIỂM RUBRIC</v>
      </c>
      <c r="D42" s="34" t="str">
        <f>VLOOKUP($L$4&amp;"_"&amp;$A42, Khung_KeHoach_Chuan!$A$11:$J$91, 6, FALSE)</f>
        <v>Báo cáo trực tiếp với GVPB; GVPB và GVHD thống nhất điểm trên Rubric</v>
      </c>
      <c r="E42" s="35"/>
      <c r="F42" s="20" t="str">
        <f>VLOOKUP($L$4&amp;"_"&amp;$A42, Khung_KeHoach_Chuan!$A$11:$J$91, 7, FALSE)</f>
        <v>2026-12-26</v>
      </c>
      <c r="G42" s="20" t="str">
        <f>VLOOKUP($L$4&amp;"_"&amp;$A42, Khung_KeHoach_Chuan!$A$11:$J$91, 8, FALSE)</f>
        <v>2026-12-31</v>
      </c>
      <c r="H42" s="21" t="str">
        <f>VLOOKUP($L$4&amp;"_"&amp;$A42, Khung_KeHoach_Chuan!$A$11:$J$91, 9, FALSE)</f>
        <v>Hoàn thành bảo vệ &amp; Điểm số Rubric chính thức</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500-000000000000}">
      <formula1>"Dự án CNTT,Đồ án tốt nghiệp,Khóa luận tốt nghiệp,Dự án + Đồ án,Dự án + Khóa luận"</formula1>
    </dataValidation>
    <dataValidation type="list" allowBlank="1" sqref="I16:I42" xr:uid="{00000000-0002-0000-0500-000001000000}">
      <formula1>"Chưa bắt đầu,Đang thực hiện,Hoàn thành,Tạm hoãn - Bị chặn"</formula1>
    </dataValidation>
    <dataValidation type="list" allowBlank="1" showInputMessage="1" showErrorMessage="1" sqref="C10" xr:uid="{926DBC02-3265-4303-AC31-DD57C49F0D64}">
      <formula1>"Dự án CNTT,Đồ án tốt nghiệp,Khóa luận tốt nghiệp"</formula1>
    </dataValidation>
    <dataValidation type="list" allowBlank="1" showInputMessage="1" showErrorMessage="1" sqref="I45:I71" xr:uid="{F0A9C5F9-84C3-406B-B788-5301585CF2B3}">
      <formula1>"Chưa bắt đầu,Đang thực hiện,Hoàn thành,Tạm hoãn - Bị chặn"</formula1>
    </dataValidation>
  </dataValidations>
  <hyperlinks>
    <hyperlink ref="G7" r:id="rId1" xr:uid="{9B89EE89-E3EA-4E87-A6C6-FAD097322706}"/>
  </hyperlinks>
  <pageMargins left="0.75" right="0.75" top="1" bottom="1" header="0" footer="0"/>
  <pageSetup orientation="landscape"/>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topLeftCell="D18" workbookViewId="0">
      <selection activeCell="E14" sqref="E14"/>
    </sheetView>
  </sheetViews>
  <sheetFormatPr defaultColWidth="14.42578125" defaultRowHeight="15" customHeight="1"/>
  <cols>
    <col min="1" max="1" width="16"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570</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45</v>
      </c>
      <c r="D4" s="1"/>
      <c r="E4" s="1"/>
      <c r="F4" s="22" t="s">
        <v>488</v>
      </c>
      <c r="G4" s="24" t="s">
        <v>489</v>
      </c>
      <c r="H4" s="1"/>
      <c r="I4" s="1"/>
      <c r="J4" s="38"/>
      <c r="L4" s="37" t="str">
        <f>IF(OR($C$4="Dự án + Đồ án",$C$4="Dự án + Khóa luận"),"Dự án CNTT",$C$4)</f>
        <v>Dự án CNTT</v>
      </c>
    </row>
    <row r="5" spans="1:12" ht="42.75">
      <c r="A5" s="17" t="s">
        <v>490</v>
      </c>
      <c r="B5" s="1"/>
      <c r="C5" s="86" t="s">
        <v>571</v>
      </c>
      <c r="D5" s="87"/>
      <c r="E5" s="87"/>
      <c r="F5" s="87"/>
      <c r="G5" s="87"/>
      <c r="H5" s="87"/>
      <c r="I5" s="88"/>
      <c r="J5" s="38"/>
    </row>
    <row r="6" spans="1:12" ht="71.25">
      <c r="A6" s="22" t="s">
        <v>492</v>
      </c>
      <c r="B6" s="1"/>
      <c r="C6" s="39" t="s">
        <v>572</v>
      </c>
      <c r="D6" s="1"/>
      <c r="E6" s="1"/>
      <c r="F6" s="22" t="s">
        <v>494</v>
      </c>
      <c r="G6" s="10" t="s">
        <v>573</v>
      </c>
      <c r="H6" s="1"/>
      <c r="I6" s="1"/>
      <c r="J6" s="38"/>
    </row>
    <row r="7" spans="1:12" ht="42.75">
      <c r="A7" s="22" t="s">
        <v>496</v>
      </c>
      <c r="B7" s="1"/>
      <c r="C7" s="40" t="s">
        <v>574</v>
      </c>
      <c r="D7" s="1"/>
      <c r="E7" s="1"/>
      <c r="F7" s="22" t="s">
        <v>498</v>
      </c>
      <c r="G7" s="40" t="s">
        <v>575</v>
      </c>
      <c r="H7" s="1"/>
      <c r="I7" s="1"/>
      <c r="J7" s="38"/>
    </row>
    <row r="8" spans="1:12" ht="42.75">
      <c r="A8" s="22" t="s">
        <v>500</v>
      </c>
      <c r="B8" s="1"/>
      <c r="C8" s="17" t="str">
        <f>VLOOKUP($L$4, Khung_KeHoach_Chuan!$A$5:$H$7, 2, FALSE)</f>
        <v>2026-08-24</v>
      </c>
      <c r="D8" s="1"/>
      <c r="E8" s="1"/>
      <c r="F8" s="22" t="s">
        <v>501</v>
      </c>
      <c r="G8" s="26" t="str">
        <f>VLOOKUP($L$4, Khung_KeHoach_Chuan!$A$5:$H$7, 4, FALSE)</f>
        <v>2026-11-20</v>
      </c>
      <c r="H8" s="1"/>
      <c r="I8" s="1"/>
      <c r="J8" s="38"/>
    </row>
    <row r="9" spans="1:12" ht="57">
      <c r="A9" s="22" t="s">
        <v>502</v>
      </c>
      <c r="B9" s="1"/>
      <c r="C9" s="26" t="str">
        <f>VLOOKUP($L$4, Khung_KeHoach_Chuan!$A$5:$H$7, 5, FALSE)</f>
        <v>2026-12-04</v>
      </c>
      <c r="D9" s="1"/>
      <c r="E9" s="1"/>
      <c r="F9" s="22" t="s">
        <v>503</v>
      </c>
      <c r="G9" s="27" t="str">
        <f>VLOOKUP($L$4, Khung_KeHoach_Chuan!$A$5:$H$7, 7, FALSE)</f>
        <v>26/12/2026 – 31/12/2026</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8</v>
      </c>
      <c r="C13" s="3">
        <f>COUNTIF(I16:I42, "Đang thực hiện") + IF($C$10&lt;&gt;"", COUNTIF(I45:I71, "Đang thực hiện"), 0)</f>
        <v>0</v>
      </c>
      <c r="D13" s="4">
        <f>COUNTIF(I16:I42, "Chưa bắt đầu") + IF($C$10&lt;&gt;"", COUNTIF(I45:I71, "Chưa bắt đầu"), 0)</f>
        <v>19</v>
      </c>
      <c r="E13" s="4"/>
      <c r="F13" s="29">
        <f>COUNTIF(I16:I42, "Tạm hoãn - Bị chặn") + IF($C$10&lt;&gt;"", COUNTIF(I45:I71, "Tạm hoãn - Bị chặn"), 0)</f>
        <v>0</v>
      </c>
      <c r="G13" s="28" t="str">
        <f>G8</f>
        <v>2026-11-20</v>
      </c>
      <c r="H13" s="30">
        <f>B13/A13</f>
        <v>0.29629629629629628</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28.5">
      <c r="A16" s="9">
        <v>1</v>
      </c>
      <c r="B16" s="10" t="str">
        <f>VLOOKUP($L$4&amp;"_"&amp;$A16, Khung_KeHoach_Chuan!$A$11:$J$91, 4, FALSE)</f>
        <v>I. ĐỊNH HƯỚNG &amp; PHƯƠNG PHÁP LUẬN</v>
      </c>
      <c r="C16" s="17" t="str">
        <f>VLOOKUP($L$4&amp;"_"&amp;$A16, Khung_KeHoach_Chuan!$A$11:$J$91, 5, FALSE)</f>
        <v>Xác định bài toán mạng &amp; mục tiêu dự án SDN/SD-WAN</v>
      </c>
      <c r="D16" s="33" t="str">
        <f>VLOOKUP($L$4&amp;"_"&amp;$A16, Khung_KeHoach_Chuan!$A$11:$J$91, 6, FALSE)</f>
        <v>Vấn đề mạng cần giải quyết (định tuyến, QoS, giám sát, bảo mật...); phạm vi topology thử nghiệm</v>
      </c>
      <c r="E16" s="35" t="inlineStr">
        <is>
          <t>Bài toán: mạng campus 4 cơ sở (Site 100 chính, 200 Cần Thơ, 300 Đà Nẵng, 400 Nha Trang) + site controller 900; SDN điều khiển L2 tập trung tại Site 100, SD-WAN nối các site qua 2 đường Internet + MPLS. Phạm vi: mô phỏng trên EVE-NG.</t>
        </is>
      </c>
      <c r="F16" s="11" t="str">
        <f>VLOOKUP($L$4&amp;"_"&amp;$A16, Khung_KeHoach_Chuan!$A$11:$J$91, 7, FALSE)</f>
        <v>2026-08-24</v>
      </c>
      <c r="G16" s="11" t="str">
        <f>VLOOKUP($L$4&amp;"_"&amp;$A16, Khung_KeHoach_Chuan!$A$11:$J$91, 8, FALSE)</f>
        <v>2026-08-28</v>
      </c>
      <c r="H16" s="10" t="str">
        <f>VLOOKUP($L$4&amp;"_"&amp;$A16, Khung_KeHoach_Chuan!$A$11:$J$91, 9, FALSE)</f>
        <v>Tuyên bố bài toán + Phạm vi triển khai SDN/SD-WAN v1</v>
      </c>
      <c r="I16" s="11" t="s">
        <v>517</v>
      </c>
      <c r="J16" s="10"/>
    </row>
    <row r="17" spans="1:10" ht="28.5">
      <c r="A17" s="13">
        <v>2</v>
      </c>
      <c r="B17" s="14" t="str">
        <f>VLOOKUP($L$4&amp;"_"&amp;$A17, Khung_KeHoach_Chuan!$A$11:$J$91, 4, FALSE)</f>
        <v>I. ĐỊNH HƯỚNG &amp; PHƯƠNG PHÁP LUẬN</v>
      </c>
      <c r="C17" s="16" t="str">
        <f>VLOOKUP($L$4&amp;"_"&amp;$A17, Khung_KeHoach_Chuan!$A$11:$J$91, 5, FALSE)</f>
        <v>Khảo sát kiến trúc SDN/SD-WAN &amp; giải pháp liên quan</v>
      </c>
      <c r="D17" s="32" t="str">
        <f>VLOOKUP($L$4&amp;"_"&amp;$A17, Khung_KeHoach_Chuan!$A$11:$J$91, 6, FALSE)</f>
        <v>Kiến trúc SDN (control/data plane, OpenFlow), nền tảng SD-WAN thương mại/mã nguồn mở</v>
      </c>
      <c r="E17" s="35" t="inlineStr">
        <is>
          <t>Khảo sát kiến trúc SDN (control/data plane, OpenFlow 1.3) và SD-WAN Cisco Viptela (vManage/vSmart/vBond/vEdge, OMP, BFD, TLOC); so sánh controller Ryu/ONOS và giải pháp SD-WAN thương mại; viết vào Chương 2 báo cáo.</t>
        </is>
      </c>
      <c r="F17" s="15" t="str">
        <f>VLOOKUP($L$4&amp;"_"&amp;$A17, Khung_KeHoach_Chuan!$A$11:$J$91, 7, FALSE)</f>
        <v>2026-08-24</v>
      </c>
      <c r="G17" s="15" t="str">
        <f>VLOOKUP($L$4&amp;"_"&amp;$A17, Khung_KeHoach_Chuan!$A$11:$J$91, 8, FALSE)</f>
        <v>2026-09-02</v>
      </c>
      <c r="H17" s="14" t="str">
        <f>VLOOKUP($L$4&amp;"_"&amp;$A17, Khung_KeHoach_Chuan!$A$11:$J$91, 9, FALSE)</f>
        <v>Bảng khảo sát Related Work + So sánh giải pháp SDN/SD-WAN hiện có</v>
      </c>
      <c r="I17" s="15" t="s">
        <v>517</v>
      </c>
      <c r="J17" s="14"/>
    </row>
    <row r="18" spans="1:10" ht="28.5">
      <c r="A18" s="9">
        <v>3</v>
      </c>
      <c r="B18" s="10" t="str">
        <f>VLOOKUP($L$4&amp;"_"&amp;$A18, Khung_KeHoach_Chuan!$A$11:$J$91, 4, FALSE)</f>
        <v>I. ĐỊNH HƯỚNG &amp; PHƯƠNG PHÁP LUẬN</v>
      </c>
      <c r="C18" s="17" t="str">
        <f>VLOOKUP($L$4&amp;"_"&amp;$A18, Khung_KeHoach_Chuan!$A$11:$J$91, 5, FALSE)</f>
        <v>Chọn SDN controller, công cụ mô phỏng &amp; kiến trúc hệ thống</v>
      </c>
      <c r="D18" s="33" t="str">
        <f>VLOOKUP($L$4&amp;"_"&amp;$A18, Khung_KeHoach_Chuan!$A$11:$J$91, 6, FALSE)</f>
        <v>Controller (ONOS/Ryu/OpenDaylight), công cụ mô phỏng (Mininet/Containerlab/GNS3), giao thức điều khiển</v>
      </c>
      <c r="E18" s="35" t="inlineStr">
        <is>
          <t>Chọn Ryu (Python, OpenFlow 1.3) điều khiển 6 Open vSwitch; SD-WAN Viptela 20.10.1; mô phỏng trên EVE-NG (IOL, ASAv, vEdge, Linux/Windows). Đã thử ONOS làm controller thứ 2 nhưng tắt (10/10) vì gây khựng Ryu.</t>
        </is>
      </c>
      <c r="F18" s="11" t="str">
        <f>VLOOKUP($L$4&amp;"_"&amp;$A18, Khung_KeHoach_Chuan!$A$11:$J$91, 7, FALSE)</f>
        <v>2026-08-28</v>
      </c>
      <c r="G18" s="11" t="str">
        <f>VLOOKUP($L$4&amp;"_"&amp;$A18, Khung_KeHoach_Chuan!$A$11:$J$91, 8, FALSE)</f>
        <v>2026-09-05</v>
      </c>
      <c r="H18" s="10" t="str">
        <f>VLOOKUP($L$4&amp;"_"&amp;$A18, Khung_KeHoach_Chuan!$A$11:$J$91, 9, FALSE)</f>
        <v>Sơ đồ kiến trúc tổng thể mạng + Tech stack specification</v>
      </c>
      <c r="I18" s="11" t="s">
        <v>517</v>
      </c>
      <c r="J18" s="10"/>
    </row>
    <row r="19" spans="1:10" ht="28.5">
      <c r="A19" s="13">
        <v>4</v>
      </c>
      <c r="B19" s="14" t="str">
        <f>VLOOKUP($L$4&amp;"_"&amp;$A19, Khung_KeHoach_Chuan!$A$11:$J$91, 4, FALSE)</f>
        <v>I. ĐỊNH HƯỚNG &amp; PHƯƠNG PHÁP LUẬN</v>
      </c>
      <c r="C19" s="16" t="str">
        <f>VLOOKUP($L$4&amp;"_"&amp;$A19, Khung_KeHoach_Chuan!$A$11:$J$91, 5, FALSE)</f>
        <v>Lập kế hoạch công việc, phân công &amp; quản trị rủi ro</v>
      </c>
      <c r="D19" s="32" t="str">
        <f>VLOOKUP($L$4&amp;"_"&amp;$A19, Khung_KeHoach_Chuan!$A$11:$J$91, 6, FALSE)</f>
        <v>WBS: dựng testbed, lập trình controller, kiểm thử định tuyến; Git repo &amp; quy ước làm việc</v>
      </c>
      <c r="E19" s="35" t="inlineStr">
        <is>
          <t>Chia việc 2 thành viên; repo GitHub nhanhuutran007/Campus_Network_SDN_SD-WAN (từ 25/07), quy ước thư mục configs/ theo site, bảng node-id; rủi ro: tài nguyên server, mất image (đã xử lý 13/10), dự phòng host 2.</t>
        </is>
      </c>
      <c r="F19" s="15" t="str">
        <f>VLOOKUP($L$4&amp;"_"&amp;$A19, Khung_KeHoach_Chuan!$A$11:$J$91, 7, FALSE)</f>
        <v>2026-08-30</v>
      </c>
      <c r="G19" s="15" t="str">
        <f>VLOOKUP($L$4&amp;"_"&amp;$A19, Khung_KeHoach_Chuan!$A$11:$J$91, 8, FALSE)</f>
        <v>2026-09-05</v>
      </c>
      <c r="H19" s="14" t="str">
        <f>VLOOKUP($L$4&amp;"_"&amp;$A19, Khung_KeHoach_Chuan!$A$11:$J$91, 9, FALSE)</f>
        <v>WBS Backlog + Git repo setup + Quy ước làm việc</v>
      </c>
      <c r="I19" s="15" t="s">
        <v>517</v>
      </c>
      <c r="J19" s="14"/>
    </row>
    <row r="20" spans="1:10" ht="28.5">
      <c r="A20" s="9">
        <v>5</v>
      </c>
      <c r="B20" s="10" t="str">
        <f>VLOOKUP($L$4&amp;"_"&amp;$A20, Khung_KeHoach_Chuan!$A$11:$J$91, 4, FALSE)</f>
        <v>II. THIẾT KẾ &amp; CHUẨN BỊ</v>
      </c>
      <c r="C20" s="17" t="str">
        <f>VLOOKUP($L$4&amp;"_"&amp;$A20, Khung_KeHoach_Chuan!$A$11:$J$91, 5, FALSE)</f>
        <v>Thiết kế topology mạng thử nghiệm &amp; luồng điều khiển</v>
      </c>
      <c r="D20" s="33" t="str">
        <f>VLOOKUP($L$4&amp;"_"&amp;$A20, Khung_KeHoach_Chuan!$A$11:$J$91, 6, FALSE)</f>
        <v>Sơ đồ topology SDN/SD-WAN, luồng traffic, cơ chế trao đổi control plane - data plane</v>
      </c>
      <c r="E20" s="35" t="inlineStr">
        <is>
          <t>Topo 70 node/103 network: Site 100 (Core IOL VRRP, FW ASAv HA, 2 Dist + 4 Access OVS), 3 chi nhánh Firewall-as-Core, Site 500, site 900; control plane SDN qua VLAN 99 (10.1.99.0/24); underlay BGP AS 64511/64512.</t>
        </is>
      </c>
      <c r="F20" s="11" t="str">
        <f>VLOOKUP($L$4&amp;"_"&amp;$A20, Khung_KeHoach_Chuan!$A$11:$J$91, 7, FALSE)</f>
        <v>2026-09-06</v>
      </c>
      <c r="G20" s="11" t="str">
        <f>VLOOKUP($L$4&amp;"_"&amp;$A20, Khung_KeHoach_Chuan!$A$11:$J$91, 8, FALSE)</f>
        <v>2026-09-12</v>
      </c>
      <c r="H20" s="10" t="str">
        <f>VLOOKUP($L$4&amp;"_"&amp;$A20, Khung_KeHoach_Chuan!$A$11:$J$91, 9, FALSE)</f>
        <v>Sơ đồ topology mạng + Thiết kế luồng điều khiển v1</v>
      </c>
      <c r="I20" s="11" t="s">
        <v>517</v>
      </c>
      <c r="J20" s="10"/>
    </row>
    <row r="21" spans="1:10" ht="28.5">
      <c r="A21" s="13">
        <v>6</v>
      </c>
      <c r="B21" s="14" t="str">
        <f>VLOOKUP($L$4&amp;"_"&amp;$A21, Khung_KeHoach_Chuan!$A$11:$J$91, 4, FALSE)</f>
        <v>II. THIẾT KẾ &amp; CHUẨN BỊ</v>
      </c>
      <c r="C21" s="16" t="str">
        <f>VLOOKUP($L$4&amp;"_"&amp;$A21, Khung_KeHoach_Chuan!$A$11:$J$91, 5, FALSE)</f>
        <v>Chuẩn bị testbed, controller &amp; công cụ giám sát mạng</v>
      </c>
      <c r="D21" s="32" t="str">
        <f>VLOOKUP($L$4&amp;"_"&amp;$A21, Khung_KeHoach_Chuan!$A$11:$J$91, 6, FALSE)</f>
        <v>Cài đặt Mininet/Containerlab + controller, công cụ sinh traffic (iperf/hping3), giám sát (Wireshark)</v>
      </c>
      <c r="E21" s="35" t="inlineStr">
        <is>
          <t>Testbed EVE-NG trên server khoa (host 1) + host 2 dự phòng; Ryu trên node 9; giám sát: Campus SDN Console/NOC (REST, dashboard), vManage, Kiwi Syslog, tcpdump/Wireshark, đo throughput liên VLAN.</t>
        </is>
      </c>
      <c r="F21" s="15" t="str">
        <f>VLOOKUP($L$4&amp;"_"&amp;$A21, Khung_KeHoach_Chuan!$A$11:$J$91, 7, FALSE)</f>
        <v>2026-09-06</v>
      </c>
      <c r="G21" s="15" t="str">
        <f>VLOOKUP($L$4&amp;"_"&amp;$A21, Khung_KeHoach_Chuan!$A$11:$J$91, 8, FALSE)</f>
        <v>2026-09-12</v>
      </c>
      <c r="H21" s="14" t="str">
        <f>VLOOKUP($L$4&amp;"_"&amp;$A21, Khung_KeHoach_Chuan!$A$11:$J$91, 9, FALSE)</f>
        <v>Testbed SDN/SD-WAN hoàn chỉnh + Công cụ giám sát</v>
      </c>
      <c r="I21" s="15" t="s">
        <v>517</v>
      </c>
      <c r="J21" s="14"/>
    </row>
    <row r="22" spans="1:10" ht="28.5">
      <c r="A22" s="9">
        <v>7</v>
      </c>
      <c r="B22" s="10" t="str">
        <f>VLOOKUP($L$4&amp;"_"&amp;$A22, Khung_KeHoach_Chuan!$A$11:$J$91, 4, FALSE)</f>
        <v>II. THIẾT KẾ &amp; CHUẨN BỊ</v>
      </c>
      <c r="C22" s="17" t="str">
        <f>VLOOKUP($L$4&amp;"_"&amp;$A22, Khung_KeHoach_Chuan!$A$11:$J$91, 5, FALSE)</f>
        <v>Xây dựng kế hoạch kiểm thử &amp; tiêu chí nghiệm thu</v>
      </c>
      <c r="D22" s="33" t="str">
        <f>VLOOKUP($L$4&amp;"_"&amp;$A22, Khung_KeHoach_Chuan!$A$11:$J$91, 6, FALSE)</f>
        <v>Test plan, kịch bản định tuyến/failover, tiêu chí đánh giá (Latency, Throughput, Packet Loss)</v>
      </c>
      <c r="E22" s="35" t="inlineStr">
        <is>
          <t>Kịch bản S1–S6 (mất link, mất switch, mất controller…) với ngưỡng phục hồi ≤ 5 s; test failover FW HA, cắt màu WAN SD-WAN (BFD/AAR), DHCP từng site; baseline lưu trong log/sdn-eval (04/10).</t>
        </is>
      </c>
      <c r="F22" s="11" t="str">
        <f>VLOOKUP($L$4&amp;"_"&amp;$A22, Khung_KeHoach_Chuan!$A$11:$J$91, 7, FALSE)</f>
        <v>2026-09-13</v>
      </c>
      <c r="G22" s="11" t="str">
        <f>VLOOKUP($L$4&amp;"_"&amp;$A22, Khung_KeHoach_Chuan!$A$11:$J$91, 8, FALSE)</f>
        <v>2026-09-19</v>
      </c>
      <c r="H22" s="10" t="str">
        <f>VLOOKUP($L$4&amp;"_"&amp;$A22, Khung_KeHoach_Chuan!$A$11:$J$91, 9, FALSE)</f>
        <v>Test plan + Bộ tiêu chí đánh giá + Baseline metrics</v>
      </c>
      <c r="I22" s="11" t="s">
        <v>517</v>
      </c>
      <c r="J22" s="10"/>
    </row>
    <row r="23" spans="1:10" ht="28.5">
      <c r="A23" s="13">
        <v>8</v>
      </c>
      <c r="B23" s="14" t="str">
        <f>VLOOKUP($L$4&amp;"_"&amp;$A23, Khung_KeHoach_Chuan!$A$11:$J$91, 4, FALSE)</f>
        <v>II. THIẾT KẾ &amp; CHUẨN BỊ</v>
      </c>
      <c r="C23" s="16" t="str">
        <f>VLOOKUP($L$4&amp;"_"&amp;$A23, Khung_KeHoach_Chuan!$A$11:$J$91, 5, FALSE)</f>
        <v>Làm Proof of Concept (PoC): điều khiển định tuyến cơ bản qua controller</v>
      </c>
      <c r="D23" s="32" t="str">
        <f>VLOOKUP($L$4&amp;"_"&amp;$A23, Khung_KeHoach_Chuan!$A$11:$J$91, 6, FALSE)</f>
        <v>Cấu hình flow rules cơ bản, kiểm tra khả năng điều khiển luồng traffic qua controller</v>
      </c>
      <c r="E23" s="35" t="inlineStr">
        <is>
          <t>PoC: Ryu điều khiển OVS, VPC nhận DHCP qua flow OpenFlow; phát hiện và sửa lỗi table-miss/vlan_vid làm rơi DHCP; vEdge đầu tiên lên controller.</t>
        </is>
      </c>
      <c r="F23" s="15" t="str">
        <f>VLOOKUP($L$4&amp;"_"&amp;$A23, Khung_KeHoach_Chuan!$A$11:$J$91, 7, FALSE)</f>
        <v>2026-09-13</v>
      </c>
      <c r="G23" s="15" t="str">
        <f>VLOOKUP($L$4&amp;"_"&amp;$A23, Khung_KeHoach_Chuan!$A$11:$J$91, 8, FALSE)</f>
        <v>2026-09-19</v>
      </c>
      <c r="H23" s="14" t="str">
        <f>VLOOKUP($L$4&amp;"_"&amp;$A23, Khung_KeHoach_Chuan!$A$11:$J$91, 9, FALSE)</f>
        <v>Bản demo PoC điều khiển SDN chạy được + Báo cáo rủi ro kỹ thuật</v>
      </c>
      <c r="I23" s="15" t="s">
        <v>517</v>
      </c>
      <c r="J23" s="14"/>
    </row>
    <row r="24" spans="1:10" ht="28.5">
      <c r="A24" s="9">
        <v>9</v>
      </c>
      <c r="B24" s="10" t="str">
        <f>VLOOKUP($L$4&amp;"_"&amp;$A24, Khung_KeHoach_Chuan!$A$11:$J$91, 4, FALSE)</f>
        <v>III. TRIỂN KHAI / THỰC NGHIỆM</v>
      </c>
      <c r="C24" s="17" t="str">
        <f>VLOOKUP($L$4&amp;"_"&amp;$A24, Khung_KeHoach_Chuan!$A$11:$J$91, 5, FALSE)</f>
        <v>Xây dựng phiên bản MVP: hệ thống SDN/SD-WAN vận hành cơ bản</v>
      </c>
      <c r="D24" s="33" t="str">
        <f>VLOOKUP($L$4&amp;"_"&amp;$A24, Khung_KeHoach_Chuan!$A$11:$J$91, 6, FALSE)</f>
        <v>Hoàn thành luồng điều khiển - định tuyến - giám sát cơ bản trên toàn bộ topology</v>
      </c>
      <c r="E24" s="35" t="inlineStr">
        <is>
          <t>MVP: 6/6 OVS kết nối Ryu, VPC Site 100 nhận DHCP; 8/8 vEdge lên fabric, BFD 56/56, overlay VPN 1 thông 4 site (23/09).</t>
        </is>
      </c>
      <c r="F24" s="11" t="str">
        <f>VLOOKUP($L$4&amp;"_"&amp;$A24, Khung_KeHoach_Chuan!$A$11:$J$91, 7, FALSE)</f>
        <v>2026-09-20</v>
      </c>
      <c r="G24" s="11" t="str">
        <f>VLOOKUP($L$4&amp;"_"&amp;$A24, Khung_KeHoach_Chuan!$A$11:$J$91, 8, FALSE)</f>
        <v>2026-09-26</v>
      </c>
      <c r="H24" s="10" t="str">
        <f>VLOOKUP($L$4&amp;"_"&amp;$A24, Khung_KeHoach_Chuan!$A$11:$J$91, 9, FALSE)</f>
        <v>Bản MVP: hệ thống SDN/SD-WAN chạy thông luồng cơ bản</v>
      </c>
      <c r="I24" s="11" t="s">
        <v>517</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tr">
        <f>VLOOKUP($L$4&amp;"_"&amp;$A25, Khung_KeHoach_Chuan!$A$11:$J$91, 6, FALSE)</f>
        <v>Tổng hợp tiến độ thực hiện, nộp phiếu theo dõi có chữ ký GVHD</v>
      </c>
      <c r="E25" s="35" t="inlineStr">
        <is>
          <t>Đã nộp báo cáo giữa kỳ (thư mục BAOCAO_GIUAKY, cập nhật 09/10) kèm slide tiến độ hằng tuần (Baocao27). Cần kiểm lại phiếu theo dõi có chữ ký GVHD.</t>
        </is>
      </c>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517</v>
      </c>
      <c r="J25" s="21"/>
    </row>
    <row r="26" spans="1:10" ht="28.5">
      <c r="A26" s="9">
        <v>11</v>
      </c>
      <c r="B26" s="10" t="str">
        <f>VLOOKUP($L$4&amp;"_"&amp;$A26, Khung_KeHoach_Chuan!$A$11:$J$91, 4, FALSE)</f>
        <v>III. TRIỂN KHAI / THỰC NGHIỆM</v>
      </c>
      <c r="C26" s="17" t="str">
        <f>VLOOKUP($L$4&amp;"_"&amp;$A26, Khung_KeHoach_Chuan!$A$11:$J$91, 5, FALSE)</f>
        <v>Phát triển hoàn thiện module định tuyến &amp; chính sách điều khiển</v>
      </c>
      <c r="D26" s="33" t="str">
        <f>VLOOKUP($L$4&amp;"_"&amp;$A26, Khung_KeHoach_Chuan!$A$11:$J$91, 6, FALSE)</f>
        <v>Lập trình logic định tuyến động, chính sách QoS/ưu tiên traffic, xử lý sự kiện mạng</v>
      </c>
      <c r="E26" s="35" t="inlineStr">
        <is>
          <t>SDN controller v2: VLAN động, chính sách tập trung pipeline 2 bảng, tự phục hồi VLAN 99, RARP sau barrier (17/10); SD-WAN: SLA/AAR/data policy trên vSmart, DIA chi nhánh + dự phòng MPLS, mail cảnh báo Down/Up.</t>
        </is>
      </c>
      <c r="F26" s="11" t="str">
        <f>VLOOKUP($L$4&amp;"_"&amp;$A26, Khung_KeHoach_Chuan!$A$11:$J$91, 7, FALSE)</f>
        <v>2026-10-05</v>
      </c>
      <c r="G26" s="11" t="str">
        <f>VLOOKUP($L$4&amp;"_"&amp;$A26, Khung_KeHoach_Chuan!$A$11:$J$91, 8, FALSE)</f>
        <v>2026-10-18</v>
      </c>
      <c r="H26" s="10" t="str">
        <f>VLOOKUP($L$4&amp;"_"&amp;$A26, Khung_KeHoach_Chuan!$A$11:$J$91, 9, FALSE)</f>
        <v>Module định tuyến &amp; chính sách điều khiển hoàn chỉnh trên Git</v>
      </c>
      <c r="I26" s="11" t="s">
        <v>517</v>
      </c>
      <c r="J26" s="10"/>
    </row>
    <row r="27" spans="1:10" ht="28.5">
      <c r="A27" s="13">
        <v>12</v>
      </c>
      <c r="B27" s="14" t="str">
        <f>VLOOKUP($L$4&amp;"_"&amp;$A27, Khung_KeHoach_Chuan!$A$11:$J$91, 4, FALSE)</f>
        <v>III. TRIỂN KHAI / THỰC NGHIỆM</v>
      </c>
      <c r="C27" s="16" t="str">
        <f>VLOOKUP($L$4&amp;"_"&amp;$A27, Khung_KeHoach_Chuan!$A$11:$J$91, 5, FALSE)</f>
        <v>Tích hợp toàn bộ hệ thống &amp; đồng bộ cấu hình mạng</v>
      </c>
      <c r="D27" s="32" t="str">
        <f>VLOOKUP($L$4&amp;"_"&amp;$A27, Khung_KeHoach_Chuan!$A$11:$J$91, 6, FALSE)</f>
        <v>Kết nối controller-switch-orchestrator, đồng bộ cấu hình giữa các site SD-WAN</v>
      </c>
      <c r="E27" s="35" t="inlineStr">
        <is>
          <t>Đang làm: đồng bộ configs/ = cấu hình live (10/10), host 2 đồng bộ đủ (19/10); còn cấu hình vEdge Site 500 và chạy toàn hệ thống cùng lúc (SD-WAN đang tắt bớt để giảm tải server).</t>
        </is>
      </c>
      <c r="F27" s="15" t="str">
        <f>VLOOKUP($L$4&amp;"_"&amp;$A27, Khung_KeHoach_Chuan!$A$11:$J$91, 7, FALSE)</f>
        <v>2026-10-19</v>
      </c>
      <c r="G27" s="15" t="str">
        <f>VLOOKUP($L$4&amp;"_"&amp;$A27, Khung_KeHoach_Chuan!$A$11:$J$91, 8, FALSE)</f>
        <v>2026-10-25</v>
      </c>
      <c r="H27" s="14" t="str">
        <f>VLOOKUP($L$4&amp;"_"&amp;$A27, Khung_KeHoach_Chuan!$A$11:$J$91, 9, FALSE)</f>
        <v>Hệ thống tích hợp hoàn chỉnh (Full System Build)</v>
      </c>
      <c r="I27" s="15" t="s">
        <v>529</v>
      </c>
      <c r="J27" s="14"/>
    </row>
    <row r="28" spans="1:10" ht="28.5">
      <c r="A28" s="9">
        <v>13</v>
      </c>
      <c r="B28" s="10" t="str">
        <f>VLOOKUP($L$4&amp;"_"&amp;$A28, Khung_KeHoach_Chuan!$A$11:$J$91, 4, FALSE)</f>
        <v>III. TRIỂN KHAI / THỰC NGHIỆM</v>
      </c>
      <c r="C28" s="17" t="str">
        <f>VLOOKUP($L$4&amp;"_"&amp;$A28, Khung_KeHoach_Chuan!$A$11:$J$91, 5, FALSE)</f>
        <v>Duy trì Technical Log, Commit history &amp; Bằng chứng</v>
      </c>
      <c r="D28" s="33" t="str">
        <f>VLOOKUP($L$4&amp;"_"&amp;$A28, Khung_KeHoach_Chuan!$A$11:$J$91, 6, FALSE)</f>
        <v>Ghi log cấu hình controller, thay đổi flow rules, biên bản họp định kỳ với GVHD</v>
      </c>
      <c r="E28" s="35" t="inlineStr">
        <is>
          <t>Đang làm: commit history trên GitHub, log đo (log/sdn-eval), ảnh vManage/Console trong báo cáo, ghi chú sự cố và cách xử lý (NIC treo, mất image, khựng controller). Bổ sung biên bản họp GVHD.</t>
        </is>
      </c>
      <c r="F28" s="11" t="str">
        <f>VLOOKUP($L$4&amp;"_"&amp;$A28, Khung_KeHoach_Chuan!$A$11:$J$91, 7, FALSE)</f>
        <v>2026-09-20</v>
      </c>
      <c r="G28" s="11" t="str">
        <f>VLOOKUP($L$4&amp;"_"&amp;$A28, Khung_KeHoach_Chuan!$A$11:$J$91, 8, FALSE)</f>
        <v>2026-10-31</v>
      </c>
      <c r="H28" s="10" t="str">
        <f>VLOOKUP($L$4&amp;"_"&amp;$A28, Khung_KeHoach_Chuan!$A$11:$J$91, 9, FALSE)</f>
        <v>Thư mục Evidence + Git commit log chuẩn quy cách</v>
      </c>
      <c r="I28" s="11" t="s">
        <v>529</v>
      </c>
      <c r="J28" s="10"/>
    </row>
    <row r="29" spans="1:10" ht="28.5">
      <c r="A29" s="13">
        <v>14</v>
      </c>
      <c r="B29" s="14" t="str">
        <f>VLOOKUP($L$4&amp;"_"&amp;$A29, Khung_KeHoach_Chuan!$A$11:$J$91, 4, FALSE)</f>
        <v>IV. KIỂM THỬ &amp; ĐÁNH GIÁ</v>
      </c>
      <c r="C29" s="16" t="str">
        <f>VLOOKUP($L$4&amp;"_"&amp;$A29, Khung_KeHoach_Chuan!$A$11:$J$91, 5, FALSE)</f>
        <v>Thực thi kiểm thử chức năng hệ thống SDN/SD-WAN</v>
      </c>
      <c r="D29" s="32" t="str">
        <f>VLOOKUP($L$4&amp;"_"&amp;$A29, Khung_KeHoach_Chuan!$A$11:$J$91, 6, FALSE)</f>
        <v>Kiểm tra định tuyến, failover, chính sách QoS, khả năng phản hồi controller</v>
      </c>
      <c r="E29" s="35" t="inlineStr">
        <is>
          <t>Đã chạy sớm: S1–S6 ĐẠT, tắt Dist-SW1 mất 1,8 s, SD-WAN failover + mail cảnh báo, FW HA, DHCP từng site. Còn: chạy lại trọn bộ trên hệ thống tích hợp, lập bảng kết quả + danh sách lỗi.</t>
        </is>
      </c>
      <c r="F29" s="15" t="str">
        <f>VLOOKUP($L$4&amp;"_"&amp;$A29, Khung_KeHoach_Chuan!$A$11:$J$91, 7, FALSE)</f>
        <v>2026-10-26</v>
      </c>
      <c r="G29" s="15" t="str">
        <f>VLOOKUP($L$4&amp;"_"&amp;$A29, Khung_KeHoach_Chuan!$A$11:$J$91, 8, FALSE)</f>
        <v>2026-11-01</v>
      </c>
      <c r="H29" s="14" t="str">
        <f>VLOOKUP($L$4&amp;"_"&amp;$A29, Khung_KeHoach_Chuan!$A$11:$J$91, 9, FALSE)</f>
        <v>Bảng kết quả test chi tiết + Danh sách lỗi đã xử lý</v>
      </c>
      <c r="I29" s="15" t="s">
        <v>529</v>
      </c>
      <c r="J29" s="14"/>
    </row>
    <row r="30" spans="1:10" ht="28.5">
      <c r="A30" s="9">
        <v>15</v>
      </c>
      <c r="B30" s="10" t="str">
        <f>VLOOKUP($L$4&amp;"_"&amp;$A30, Khung_KeHoach_Chuan!$A$11:$J$91, 4, FALSE)</f>
        <v>IV. KIỂM THỬ &amp; ĐÁNH GIÁ</v>
      </c>
      <c r="C30" s="17" t="str">
        <f>VLOOKUP($L$4&amp;"_"&amp;$A30, Khung_KeHoach_Chuan!$A$11:$J$91, 5, FALSE)</f>
        <v>Kiểm thử hiệu năng, độ trễ &amp; khả năng mở rộng hệ thống</v>
      </c>
      <c r="D30" s="33" t="str">
        <f>VLOOKUP($L$4&amp;"_"&amp;$A30, Khung_KeHoach_Chuan!$A$11:$J$91, 6, FALSE)</f>
        <v>Đo độ trễ xử lý (latency), thông lượng (throughput), khả năng chịu tải</v>
      </c>
      <c r="E30" s="35" t="inlineStr">
        <is>
          <t>Đã có ma trận hiệu năng liên VLAN, đo tải Core/Dist và thời gian phục hồi (04/10), giám sát throughput (11/10). Còn: đo latency/throughput qua tunnel SD-WAN, so sánh 2 màu WAN.</t>
        </is>
      </c>
      <c r="F30" s="11" t="str">
        <f>VLOOKUP($L$4&amp;"_"&amp;$A30, Khung_KeHoach_Chuan!$A$11:$J$91, 7, FALSE)</f>
        <v>2026-11-02</v>
      </c>
      <c r="G30" s="11" t="str">
        <f>VLOOKUP($L$4&amp;"_"&amp;$A30, Khung_KeHoach_Chuan!$A$11:$J$91, 8, FALSE)</f>
        <v>2026-11-08</v>
      </c>
      <c r="H30" s="10" t="str">
        <f>VLOOKUP($L$4&amp;"_"&amp;$A30, Khung_KeHoach_Chuan!$A$11:$J$91, 9, FALSE)</f>
        <v>Báo cáo Performance &amp; Scalability testing</v>
      </c>
      <c r="I30" s="11" t="s">
        <v>529</v>
      </c>
      <c r="J30" s="10"/>
    </row>
    <row r="31" spans="1:10" ht="28.5">
      <c r="A31" s="13">
        <v>16</v>
      </c>
      <c r="B31" s="14" t="str">
        <f>VLOOKUP($L$4&amp;"_"&amp;$A31, Khung_KeHoach_Chuan!$A$11:$J$91, 4, FALSE)</f>
        <v>IV. KIỂM THỬ &amp; ĐÁNH GIÁ</v>
      </c>
      <c r="C31" s="16" t="str">
        <f>VLOOKUP($L$4&amp;"_"&amp;$A31, Khung_KeHoach_Chuan!$A$11:$J$91, 5, FALSE)</f>
        <v>Tổng hợp số liệu thực nghiệm &amp; biểu đồ đánh giá hệ thống</v>
      </c>
      <c r="D31" s="32" t="str">
        <f>VLOOKUP($L$4&amp;"_"&amp;$A31, Khung_KeHoach_Chuan!$A$11:$J$91, 6, FALSE)</f>
        <v>Độ trễ định tuyến, thông lượng, tỷ lệ mất gói, so sánh trước/sau khi áp dụng SDN</v>
      </c>
      <c r="E31" s="35" t="inlineStr">
        <is>
          <t>Tổng hợp số liệu log/sdn-eval + đo SD-WAN thành biểu đồ (thời gian phục hồi, latency, throughput); so sánh trước/sau khi áp dụng SDN/SD-WAN.</t>
        </is>
      </c>
      <c r="F31" s="15" t="str">
        <f>VLOOKUP($L$4&amp;"_"&amp;$A31, Khung_KeHoach_Chuan!$A$11:$J$91, 7, FALSE)</f>
        <v>2026-11-09</v>
      </c>
      <c r="G31" s="15" t="str">
        <f>VLOOKUP($L$4&amp;"_"&amp;$A31, Khung_KeHoach_Chuan!$A$11:$J$91, 8, FALSE)</f>
        <v>2026-11-15</v>
      </c>
      <c r="H31" s="14" t="str">
        <f>VLOOKUP($L$4&amp;"_"&amp;$A31, Khung_KeHoach_Chuan!$A$11:$J$91, 9, FALSE)</f>
        <v>Bộ biểu đồ kết quả + Bảng so sánh hiệu quả mạng truyền thống và SDN</v>
      </c>
      <c r="I31" s="15" t="s">
        <v>518</v>
      </c>
      <c r="J31" s="14"/>
    </row>
    <row r="32" spans="1:10">
      <c r="A32" s="9">
        <v>17</v>
      </c>
      <c r="B32" s="10" t="str">
        <f>VLOOKUP($L$4&amp;"_"&amp;$A32, Khung_KeHoach_Chuan!$A$11:$J$91, 4, FALSE)</f>
        <v>IV. KIỂM THỬ &amp; ĐÁNH GIÁ</v>
      </c>
      <c r="C32" s="17" t="str">
        <f>VLOOKUP($L$4&amp;"_"&amp;$A32, Khung_KeHoach_Chuan!$A$11:$J$91, 5, FALSE)</f>
        <v>Đánh giá đạt mục tiêu &amp; ghi nhận hạn chế</v>
      </c>
      <c r="D32" s="33" t="str">
        <f>VLOOKUP($L$4&amp;"_"&amp;$A32, Khung_KeHoach_Chuan!$A$11:$J$91, 6, FALSE)</f>
        <v>Đối chiếu mục tiêu ban đầu, chỉ ra hạn chế &amp; đề xuất hướng cải tiến</v>
      </c>
      <c r="E32" s="35" t="inlineStr">
        <is>
          <t>Đối chiếu mục tiêu: SDN tự phục hồi ≤ 5 s, SD-WAN chọn đường theo SLA, dịch vụ hoạt động; nêu hạn chế (tài nguyên server, controller khựng, ASAv unlicensed) và hướng phát triển.</t>
        </is>
      </c>
      <c r="F32" s="11" t="str">
        <f>VLOOKUP($L$4&amp;"_"&amp;$A32, Khung_KeHoach_Chuan!$A$11:$J$91, 7, FALSE)</f>
        <v>2026-11-12</v>
      </c>
      <c r="G32" s="11" t="str">
        <f>VLOOKUP($L$4&amp;"_"&amp;$A32, Khung_KeHoach_Chuan!$A$11:$J$91, 8, FALSE)</f>
        <v>2026-11-18</v>
      </c>
      <c r="H32" s="10" t="str">
        <f>VLOOKUP($L$4&amp;"_"&amp;$A32, Khung_KeHoach_Chuan!$A$11:$J$91, 9, FALSE)</f>
        <v>Bảng đối chiếu mục tiêu - kết quả đạt được</v>
      </c>
      <c r="I32" s="11" t="s">
        <v>518</v>
      </c>
      <c r="J32" s="10"/>
    </row>
    <row r="33" spans="1:10" ht="28.5">
      <c r="A33" s="13">
        <v>18</v>
      </c>
      <c r="B33" s="14" t="str">
        <f>VLOOKUP($L$4&amp;"_"&amp;$A33, Khung_KeHoach_Chuan!$A$11:$J$91, 4, FALSE)</f>
        <v>V. VIẾT &amp; HOÀN THIỆN BÁO CÁO</v>
      </c>
      <c r="C33" s="16" t="str">
        <f>VLOOKUP($L$4&amp;"_"&amp;$A33, Khung_KeHoach_Chuan!$A$11:$J$91, 5, FALSE)</f>
        <v>Xây dựng dàn ý &amp; viết chương mở đầu, cơ sở lý thuyết</v>
      </c>
      <c r="D33" s="32" t="str">
        <f>VLOOKUP($L$4&amp;"_"&amp;$A33, Khung_KeHoach_Chuan!$A$11:$J$91, 6, FALSE)</f>
        <v>Tổng quan SDN/SD-WAN, cơ sở lý thuyết định tuyến/điều khiển mạng, phát biểu bài toán</v>
      </c>
      <c r="E33" s="35" t="inlineStr">
        <is>
          <t>Bản thảo Chương 1–3 đã có (LaTeX BAOCAO_DACNTT_LVT, viết lại 28/09, đồng bộ lab 11/10); còn rà soát nội dung, hình và tài liệu tham khảo.</t>
        </is>
      </c>
      <c r="F33" s="15" t="str">
        <f>VLOOKUP($L$4&amp;"_"&amp;$A33, Khung_KeHoach_Chuan!$A$11:$J$91, 7, FALSE)</f>
        <v>2026-10-26</v>
      </c>
      <c r="G33" s="15" t="str">
        <f>VLOOKUP($L$4&amp;"_"&amp;$A33, Khung_KeHoach_Chuan!$A$11:$J$91, 8, FALSE)</f>
        <v>2026-11-08</v>
      </c>
      <c r="H33" s="14" t="str">
        <f>VLOOKUP($L$4&amp;"_"&amp;$A33, Khung_KeHoach_Chuan!$A$11:$J$91, 9, FALSE)</f>
        <v>Bản thảo Chương 1, 2, 3 hoàn chỉnh</v>
      </c>
      <c r="I33" s="15" t="s">
        <v>529</v>
      </c>
      <c r="J33" s="14"/>
    </row>
    <row r="34" spans="1:10" ht="28.5">
      <c r="A34" s="9">
        <v>19</v>
      </c>
      <c r="B34" s="10" t="str">
        <f>VLOOKUP($L$4&amp;"_"&amp;$A34, Khung_KeHoach_Chuan!$A$11:$J$91, 4, FALSE)</f>
        <v>V. VIẾT &amp; HOÀN THIỆN BÁO CÁO</v>
      </c>
      <c r="C34" s="17" t="str">
        <f>VLOOKUP($L$4&amp;"_"&amp;$A34, Khung_KeHoach_Chuan!$A$11:$J$91, 5, FALSE)</f>
        <v>Viết chương thiết kế hệ thống, triển khai &amp; kết quả thực nghiệm</v>
      </c>
      <c r="D34" s="33" t="str">
        <f>VLOOKUP($L$4&amp;"_"&amp;$A34, Khung_KeHoach_Chuan!$A$11:$J$91, 6, FALSE)</f>
        <v>Kiến trúc mạng, luồng điều khiển, kết quả thực nghiệm, biểu đồ minh họa</v>
      </c>
      <c r="E34" s="35" t="inlineStr">
        <is>
          <t>Bản thảo Chương 4–5 đã có phần triển khai (đồng bộ 11/10); còn bổ sung kết quả kiểm thử, biểu đồ và đánh giá sau đợt test 26/10–08/11.</t>
        </is>
      </c>
      <c r="F34" s="11" t="str">
        <f>VLOOKUP($L$4&amp;"_"&amp;$A34, Khung_KeHoach_Chuan!$A$11:$J$91, 7, FALSE)</f>
        <v>2026-11-09</v>
      </c>
      <c r="G34" s="11" t="str">
        <f>VLOOKUP($L$4&amp;"_"&amp;$A34, Khung_KeHoach_Chuan!$A$11:$J$91, 8, FALSE)</f>
        <v>2026-11-18</v>
      </c>
      <c r="H34" s="10" t="str">
        <f>VLOOKUP($L$4&amp;"_"&amp;$A34, Khung_KeHoach_Chuan!$A$11:$J$91, 9, FALSE)</f>
        <v>Bản thảo Chương 4, 5 đầy đủ sơ đồ và số liệu</v>
      </c>
      <c r="I34" s="11" t="s">
        <v>529</v>
      </c>
      <c r="J34" s="10"/>
    </row>
    <row r="35" spans="1:10" ht="28.5">
      <c r="A35" s="13">
        <v>20</v>
      </c>
      <c r="B35" s="14" t="str">
        <f>VLOOKUP($L$4&amp;"_"&amp;$A35, Khung_KeHoach_Chuan!$A$11:$J$91, 4, FALSE)</f>
        <v>V. VIẾT &amp; HOÀN THIỆN BÁO CÁO</v>
      </c>
      <c r="C35" s="16" t="str">
        <f>VLOOKUP($L$4&amp;"_"&amp;$A35, Khung_KeHoach_Chuan!$A$11:$J$91, 5, FALSE)</f>
        <v>Hoàn thiện bản thảo toàn văn (Draft 100%)</v>
      </c>
      <c r="D35" s="32" t="str">
        <f>VLOOKUP($L$4&amp;"_"&amp;$A35, Khung_KeHoach_Chuan!$A$11:$J$91, 6, FALSE)</f>
        <v>Ghép nối toàn bộ nội dung, rà soát nhất quán thuật ngữ SDN/SD-WAN</v>
      </c>
      <c r="E35" s="35" t="inlineStr">
        <is>
          <t>Ghép toàn văn, thống nhất thuật ngữ SDN/SD-WAN và tên thiết bị theo site, kiểm hình/bảng/trích dẫn.</t>
        </is>
      </c>
      <c r="F35" s="15" t="str">
        <f>VLOOKUP($L$4&amp;"_"&amp;$A35, Khung_KeHoach_Chuan!$A$11:$J$91, 7, FALSE)</f>
        <v>2026-11-16</v>
      </c>
      <c r="G35" s="15" t="str">
        <f>VLOOKUP($L$4&amp;"_"&amp;$A35, Khung_KeHoach_Chuan!$A$11:$J$91, 8, FALSE)</f>
        <v>2026-11-20</v>
      </c>
      <c r="H35" s="14" t="str">
        <f>VLOOKUP($L$4&amp;"_"&amp;$A35, Khung_KeHoach_Chuan!$A$11:$J$91, 9, FALSE)</f>
        <v>Bản thảo báo cáo toàn văn 100%</v>
      </c>
      <c r="I35" s="15" t="s">
        <v>518</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chỉnh sửa hoàn thiện</v>
      </c>
      <c r="D36" s="33" t="str">
        <f>VLOOKUP($L$4&amp;"_"&amp;$A36, Khung_KeHoach_Chuan!$A$11:$J$91, 6, FALSE)</f>
        <v>GVHD góp ý tính đúng đắn kỹ thuật mạng, chỉnh sửa văn phong</v>
      </c>
      <c r="E36" s="35" t="inlineStr">
        <is>
          <t>Gửi bản thảo cho ThS. Lê Viết Thanh góp ý, chỉnh sửa theo phản hồi.</t>
        </is>
      </c>
      <c r="F36" s="11" t="str">
        <f>VLOOKUP($L$4&amp;"_"&amp;$A36, Khung_KeHoach_Chuan!$A$11:$J$91, 7, FALSE)</f>
        <v>2026-11-18</v>
      </c>
      <c r="G36" s="11" t="str">
        <f>VLOOKUP($L$4&amp;"_"&amp;$A36, Khung_KeHoach_Chuan!$A$11:$J$91, 8, FALSE)</f>
        <v>2026-11-20</v>
      </c>
      <c r="H36" s="10" t="str">
        <f>VLOOKUP($L$4&amp;"_"&amp;$A36, Khung_KeHoach_Chuan!$A$11:$J$91, 9, FALSE)</f>
        <v>Biên bản phản hồi góp ý + Bản sửa lần cuối</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(FINAL REPORT)</v>
      </c>
      <c r="D37" s="34" t="str">
        <f>VLOOKUP($L$4&amp;"_"&amp;$A37, Khung_KeHoach_Chuan!$A$11:$J$91, 6, FALSE)</f>
        <v>Khóa nội dung, kiểm tra định dạng chuẩn TDTU, xuất PDF hoàn chỉnh</v>
      </c>
      <c r="E37" s="35" t="inlineStr">
        <is>
          <t>Mốc báo cáo sạch 20/11/2026: khóa nội dung, định dạng chuẩn TDTU, xuất PDF.</t>
        </is>
      </c>
      <c r="F37" s="20" t="str">
        <f>VLOOKUP($L$4&amp;"_"&amp;$A37, Khung_KeHoach_Chuan!$A$11:$J$91, 7, FALSE)</f>
        <v>2026-11-20</v>
      </c>
      <c r="G37" s="20" t="str">
        <f>VLOOKUP($L$4&amp;"_"&amp;$A37, Khung_KeHoach_Chuan!$A$11:$J$91, 8, FALSE)</f>
        <v>2026-11-20</v>
      </c>
      <c r="H37" s="21" t="str">
        <f>VLOOKUP($L$4&amp;"_"&amp;$A37, Khung_KeHoach_Chuan!$A$11:$J$91, 9, FALSE)</f>
        <v>BÁO CÁO SẠCH FINAL READY TO SUBMIT</v>
      </c>
      <c r="I37" s="20" t="s">
        <v>518</v>
      </c>
      <c r="J37" s="21"/>
    </row>
    <row r="38" spans="1:10" ht="28.5">
      <c r="A38" s="19">
        <v>23</v>
      </c>
      <c r="B38" s="21" t="str">
        <f>VLOOKUP($L$4&amp;"_"&amp;$A38, Khung_KeHoach_Chuan!$A$11:$J$91, 4, FALSE)</f>
        <v>VI. ĐÓNG GÓI, BÁO CÁO &amp; ĐÁNH GIÁ RUBRIC</v>
      </c>
      <c r="C38" s="31" t="str">
        <f>VLOOKUP($L$4&amp;"_"&amp;$A38, Khung_KeHoach_Chuan!$A$11:$J$91, 5, FALSE)</f>
        <v>NỘP BÁO CÁO CUỐI KỲ (TURNITIN + ELIT)</v>
      </c>
      <c r="D38" s="34" t="str">
        <f>VLOOKUP($L$4&amp;"_"&amp;$A38, Khung_KeHoach_Chuan!$A$11:$J$91, 6, FALSE)</f>
        <v>Nộp file check đạo văn Turnitin + nộp hệ thống ELIT theo quy định Khoa</v>
      </c>
      <c r="E38" s="35" t="inlineStr">
        <is>
          <t>Nộp Turnitin + ELIT trong 24/11–04/12/2026.</t>
        </is>
      </c>
      <c r="F38" s="20" t="str">
        <f>VLOOKUP($L$4&amp;"_"&amp;$A38, Khung_KeHoach_Chuan!$A$11:$J$91, 7, FALSE)</f>
        <v>2026-11-24</v>
      </c>
      <c r="G38" s="20" t="str">
        <f>VLOOKUP($L$4&amp;"_"&amp;$A38, Khung_KeHoach_Chuan!$A$11:$J$91, 8, FALSE)</f>
        <v>2026-12-04</v>
      </c>
      <c r="H38" s="21" t="str">
        <f>VLOOKUP($L$4&amp;"_"&amp;$A38, Khung_KeHoach_Chuan!$A$11:$J$91, 9, FALSE)</f>
        <v>Xác nhận nộp bài thành công trên ELIT &amp; Turnitin</v>
      </c>
      <c r="I38" s="20" t="s">
        <v>518</v>
      </c>
      <c r="J38" s="21"/>
    </row>
    <row r="39" spans="1:10" ht="28.5">
      <c r="A39" s="13">
        <v>24</v>
      </c>
      <c r="B39" s="14" t="str">
        <f>VLOOKUP($L$4&amp;"_"&amp;$A39, Khung_KeHoach_Chuan!$A$11:$J$91, 4, FALSE)</f>
        <v>VI. ĐÓNG GÓI, BÁO CÁO &amp; ĐÁNH GIÁ RUBRIC</v>
      </c>
      <c r="C39" s="16" t="str">
        <f>VLOOKUP($L$4&amp;"_"&amp;$A39, Khung_KeHoach_Chuan!$A$11:$J$91, 5, FALSE)</f>
        <v>Đóng gói mã nguồn, Demo package, Slide thuyết trình</v>
      </c>
      <c r="D39" s="32" t="str">
        <f>VLOOKUP($L$4&amp;"_"&amp;$A39, Khung_KeHoach_Chuan!$A$11:$J$91, 6, FALSE)</f>
        <v>Video demo hệ thống SDN/SD-WAN vận hành thực tế, source code sạch, slide</v>
      </c>
      <c r="E39" s="35" t="inlineStr">
        <is>
          <t>Đóng gói repo (configs/, .unl, app Ryu, Console), video demo SDN + SD-WAN, slide thuyết trình cuối kỳ.</t>
        </is>
      </c>
      <c r="F39" s="15" t="str">
        <f>VLOOKUP($L$4&amp;"_"&amp;$A39, Khung_KeHoach_Chuan!$A$11:$J$91, 7, FALSE)</f>
        <v>2026-12-05</v>
      </c>
      <c r="G39" s="15" t="str">
        <f>VLOOKUP($L$4&amp;"_"&amp;$A39, Khung_KeHoach_Chuan!$A$11:$J$91, 8, FALSE)</f>
        <v>2026-12-15</v>
      </c>
      <c r="H39" s="14" t="str">
        <f>VLOOKUP($L$4&amp;"_"&amp;$A39, Khung_KeHoach_Chuan!$A$11:$J$91, 9, FALSE)</f>
        <v>Slide báo cáo + Source code package sạch</v>
      </c>
      <c r="I39" s="15" t="s">
        <v>518</v>
      </c>
      <c r="J39" s="14"/>
    </row>
    <row r="40" spans="1:10" ht="28.5">
      <c r="A40" s="9">
        <v>25</v>
      </c>
      <c r="B40" s="10" t="str">
        <f>VLOOKUP($L$4&amp;"_"&amp;$A40, Khung_KeHoach_Chuan!$A$11:$J$91, 4, FALSE)</f>
        <v>VI. ĐÓNG GÓI, BÁO CÁO &amp; ĐÁNH GIÁ RUBRIC</v>
      </c>
      <c r="C40" s="17" t="str">
        <f>VLOOKUP($L$4&amp;"_"&amp;$A40, Khung_KeHoach_Chuan!$A$11:$J$91, 5, FALSE)</f>
        <v>GVHD xác nhận duyệt cho sinh viên ra phản biện</v>
      </c>
      <c r="D40" s="33" t="str">
        <f>VLOOKUP($L$4&amp;"_"&amp;$A40, Khung_KeHoach_Chuan!$A$11:$J$91, 6, FALSE)</f>
        <v>ThS. Lê Viết Thanh xác nhận duyệt đủ điều kiện báo cáo với GVPB</v>
      </c>
      <c r="E40" s="35" t="inlineStr">
        <is>
          <t>Chờ GVHD xác nhận đủ điều kiện ra phản biện.</t>
        </is>
      </c>
      <c r="F40" s="11" t="str">
        <f>VLOOKUP($L$4&amp;"_"&amp;$A40, Khung_KeHoach_Chuan!$A$11:$J$91, 7, FALSE)</f>
        <v>2026-11-29</v>
      </c>
      <c r="G40" s="11" t="str">
        <f>VLOOKUP($L$4&amp;"_"&amp;$A40, Khung_KeHoach_Chuan!$A$11:$J$91, 8, FALSE)</f>
        <v>2026-12-04</v>
      </c>
      <c r="H40" s="10" t="str">
        <f>VLOOKUP($L$4&amp;"_"&amp;$A40, Khung_KeHoach_Chuan!$A$11:$J$91, 9, FALSE)</f>
        <v>Xác nhận của GVHD trên hệ thống</v>
      </c>
      <c r="I40" s="11" t="s">
        <v>518</v>
      </c>
      <c r="J40" s="10"/>
    </row>
    <row r="41" spans="1:10" ht="28.5">
      <c r="A41" s="13">
        <v>26</v>
      </c>
      <c r="B41" s="14" t="str">
        <f>VLOOKUP($L$4&amp;"_"&amp;$A41, Khung_KeHoach_Chuan!$A$11:$J$91, 4, FALSE)</f>
        <v>VI. ĐÓNG GÓI, BÁO CÁO &amp; ĐÁNH GIÁ RUBRIC</v>
      </c>
      <c r="C41" s="16" t="str">
        <f>VLOOKUP($L$4&amp;"_"&amp;$A41, Khung_KeHoach_Chuan!$A$11:$J$91, 5, FALSE)</f>
        <v>Tập dượt thuyết trình &amp; Chuẩn bị câu hỏi phản biện</v>
      </c>
      <c r="D41" s="32" t="str">
        <f>VLOOKUP($L$4&amp;"_"&amp;$A41, Khung_KeHoach_Chuan!$A$11:$J$91, 6, FALSE)</f>
        <v>Trả lời câu hỏi về lựa chọn kiến trúc SDN/SD-WAN, thuật toán định tuyến, kết quả thực nghiệm</v>
      </c>
      <c r="E41" s="35" t="inlineStr">
        <is>
          <t>Tập thuyết trình, chuẩn bị Q&amp;A: lý do chọn Ryu/Viptela, cơ chế tự phục hồi, failover SD-WAN; kịch bản demo (có phương án chạy trên host 2/cloud nếu mất server).</t>
        </is>
      </c>
      <c r="F41" s="15" t="str">
        <f>VLOOKUP($L$4&amp;"_"&amp;$A41, Khung_KeHoach_Chuan!$A$11:$J$91, 7, FALSE)</f>
        <v>2026-12-18</v>
      </c>
      <c r="G41" s="15" t="str">
        <f>VLOOKUP($L$4&amp;"_"&amp;$A41, Khung_KeHoach_Chuan!$A$11:$J$91, 8, FALSE)</f>
        <v>2026-12-25</v>
      </c>
      <c r="H41" s="14" t="str">
        <f>VLOOKUP($L$4&amp;"_"&amp;$A41, Khung_KeHoach_Chuan!$A$11:$J$91, 9, FALSE)</f>
        <v>Bộ câu hỏi Q&amp;A + Kịch bản demo trơn tru</v>
      </c>
      <c r="I41" s="15" t="s">
        <v>518</v>
      </c>
      <c r="J41" s="14"/>
    </row>
    <row r="42" spans="1:10" ht="28.5">
      <c r="A42" s="19">
        <v>27</v>
      </c>
      <c r="B42" s="21" t="str">
        <f>VLOOKUP($L$4&amp;"_"&amp;$A42, Khung_KeHoach_Chuan!$A$11:$J$91, 4, FALSE)</f>
        <v>VI. ĐÓNG GÓI, BÁO CÁO &amp; ĐÁNH GIÁ RUBRIC</v>
      </c>
      <c r="C42" s="31" t="str">
        <f>VLOOKUP($L$4&amp;"_"&amp;$A42, Khung_KeHoach_Chuan!$A$11:$J$91, 5, FALSE)</f>
        <v>BÁO CÁO VỚI GVPB &amp; NHẬP ĐIỂM RUBRIC</v>
      </c>
      <c r="D42" s="34" t="str">
        <f>VLOOKUP($L$4&amp;"_"&amp;$A42, Khung_KeHoach_Chuan!$A$11:$J$91, 6, FALSE)</f>
        <v>Báo cáo trực tiếp với GVPB; GVPB và GVHD thống nhất điểm trên Rubric</v>
      </c>
      <c r="E42" s="35" t="inlineStr">
        <is>
          <t>Báo cáo với GVPB 26–31/12/2026.</t>
        </is>
      </c>
      <c r="F42" s="20" t="str">
        <f>VLOOKUP($L$4&amp;"_"&amp;$A42, Khung_KeHoach_Chuan!$A$11:$J$91, 7, FALSE)</f>
        <v>2026-12-26</v>
      </c>
      <c r="G42" s="20" t="str">
        <f>VLOOKUP($L$4&amp;"_"&amp;$A42, Khung_KeHoach_Chuan!$A$11:$J$91, 8, FALSE)</f>
        <v>2026-12-31</v>
      </c>
      <c r="H42" s="21" t="str">
        <f>VLOOKUP($L$4&amp;"_"&amp;$A42, Khung_KeHoach_Chuan!$A$11:$J$91, 9, FALSE)</f>
        <v>Hoàn thành bảo vệ &amp; Điểm số Rubric chính thức</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ht="87" customHeight="1">
      <c r="A45" s="41">
        <v>1</v>
      </c>
      <c r="B45" s="70" t="s">
        <v>576</v>
      </c>
      <c r="C45" s="74" t="s">
        <v>577</v>
      </c>
      <c r="D45" s="71" t="s">
        <v>578</v>
      </c>
      <c r="E45" s="71"/>
      <c r="F45" s="72">
        <v>46228</v>
      </c>
      <c r="G45" s="72">
        <v>46237</v>
      </c>
      <c r="H45" s="71" t="inlineStr">
        <is>
          <t>Tuyên bố bài toán + phạm vi: 4 campus (100/200/300/400) + site controller 900, chọn EVE-NG; README và repo Git khởi tạo 25/07</t>
        </is>
      </c>
      <c r="I45" s="42" t="s">
        <v>517</v>
      </c>
      <c r="J45" s="43"/>
    </row>
    <row r="46" spans="1:10" ht="87" customHeight="1">
      <c r="A46" s="44">
        <v>2</v>
      </c>
      <c r="B46" s="70" t="s">
        <v>576</v>
      </c>
      <c r="C46" s="74" t="s">
        <v>580</v>
      </c>
      <c r="D46" s="71" t="s">
        <v>581</v>
      </c>
      <c r="E46" s="71"/>
      <c r="F46" s="72">
        <v>46228</v>
      </c>
      <c r="G46" s="72">
        <v>46242</v>
      </c>
      <c r="H46" s="71" t="inlineStr">
        <is>
          <t>Lý thuyết SDN (Chương 2) + hướng dẫn OVS/Ryu (01/08); Ryu điều khiển OVS chạy thử thành công</t>
        </is>
      </c>
      <c r="I46" s="45" t="s">
        <v>517</v>
      </c>
      <c r="J46" s="46"/>
    </row>
    <row r="47" spans="1:10" ht="87" customHeight="1">
      <c r="A47" s="41">
        <v>3</v>
      </c>
      <c r="B47" s="70" t="s">
        <v>576</v>
      </c>
      <c r="C47" s="74" t="s">
        <v>583</v>
      </c>
      <c r="D47" s="71" t="s">
        <v>584</v>
      </c>
      <c r="E47" s="71"/>
      <c r="F47" s="72">
        <v>46235</v>
      </c>
      <c r="G47" s="72">
        <v>46274</v>
      </c>
      <c r="H47" s="71" t="inlineStr">
        <is>
          <t>Lý thuyết SD-WAN (Chương 2) + tài liệu giải thích tunnel/OMP/BFD/TLOC (09/09) + ghi chú root-cause lỗi đã gặp</t>
        </is>
      </c>
      <c r="I47" s="42" t="s">
        <v>517</v>
      </c>
      <c r="J47" s="43"/>
    </row>
    <row r="48" spans="1:10" ht="87" customHeight="1">
      <c r="A48" s="44">
        <v>4</v>
      </c>
      <c r="B48" s="70" t="s">
        <v>586</v>
      </c>
      <c r="C48" s="75" t="s">
        <v>587</v>
      </c>
      <c r="D48" s="57" t="s">
        <v>588</v>
      </c>
      <c r="E48" s="58"/>
      <c r="F48" s="59">
        <v>46228</v>
      </c>
      <c r="G48" s="59">
        <v>46238</v>
      </c>
      <c r="H48" s="60" t="inlineStr">
        <is>
          <t>Sơ đồ topo Mermaid 1.1–1.6 trong campus_network_sdn_sdwan.md + .unl EVE-NG (nay 70 node/103 network, bổ sung Site 500 ngày 03/10)</t>
        </is>
      </c>
      <c r="I48" s="45" t="s">
        <v>517</v>
      </c>
      <c r="J48" s="46"/>
    </row>
    <row r="49" spans="1:10" ht="87" customHeight="1">
      <c r="A49" s="41">
        <v>5</v>
      </c>
      <c r="B49" s="62" t="s">
        <v>586</v>
      </c>
      <c r="C49" s="73" t="s">
        <v>590</v>
      </c>
      <c r="D49" s="63" t="s">
        <v>591</v>
      </c>
      <c r="E49" s="58"/>
      <c r="F49" s="64">
        <v>46235</v>
      </c>
      <c r="G49" s="64">
        <v>46249</v>
      </c>
      <c r="H49" s="61" t="inlineStr">
        <is>
          <t>Bảng IP/VLAN 2.0–2.5 (gateway .1, DHCP .100–.199, server .10/.11), ASN Internet 64511 / MPLS 64512 / site 650xx, System-IP 10.200.&lt;site&gt;.x</t>
        </is>
      </c>
      <c r="I49" s="42" t="s">
        <v>517</v>
      </c>
      <c r="J49" s="43"/>
    </row>
    <row r="50" spans="1:10" ht="87" customHeight="1">
      <c r="A50" s="44">
        <v>6</v>
      </c>
      <c r="B50" s="65" t="s">
        <v>586</v>
      </c>
      <c r="C50" s="65" t="s">
        <v>593</v>
      </c>
      <c r="D50" s="57" t="s">
        <v>594</v>
      </c>
      <c r="E50" s="58"/>
      <c r="F50" s="59">
        <v>46237</v>
      </c>
      <c r="G50" s="59">
        <v>46314</v>
      </c>
      <c r="H50" s="60" t="inlineStr">
        <is>
          <t>configs/README.md (bảng node-id) + 47 config nhúng trong .unl (unl_tool validate ĐẠT); quy trình đồng bộ host 1 → repo → host 2 (đồng bộ đủ 19/10)</t>
        </is>
      </c>
      <c r="I50" s="45" t="s">
        <v>517</v>
      </c>
      <c r="J50" s="46"/>
    </row>
    <row r="51" spans="1:10" ht="87" customHeight="1">
      <c r="A51" s="41">
        <v>7</v>
      </c>
      <c r="B51" s="62" t="s">
        <v>596</v>
      </c>
      <c r="C51" s="62" t="s">
        <v>597</v>
      </c>
      <c r="D51" s="63" t="s">
        <v>598</v>
      </c>
      <c r="E51" s="58"/>
      <c r="F51" s="64">
        <v>46237</v>
      </c>
      <c r="G51" s="64">
        <v>46249</v>
      </c>
      <c r="H51" s="61" t="inlineStr">
        <is>
          <t>Core-SW1/2 IOL: SVI + VRRP .1, trunk dot1q, vtp off; nghiệm thu show vlan brief / show vrrp / OSPF neighbor FW↔Core</t>
        </is>
      </c>
      <c r="I51" s="42" t="s">
        <v>517</v>
      </c>
      <c r="J51" s="43"/>
    </row>
    <row r="52" spans="1:10" ht="87" customHeight="1">
      <c r="A52" s="44">
        <v>8</v>
      </c>
      <c r="B52" s="65" t="s">
        <v>596</v>
      </c>
      <c r="C52" s="65" t="s">
        <v>600</v>
      </c>
      <c r="D52" s="57" t="s">
        <v>601</v>
      </c>
      <c r="E52" s="58"/>
      <c r="F52" s="59">
        <v>46245</v>
      </c>
      <c r="G52" s="59">
        <v>46312</v>
      </c>
      <c r="H52" s="60" t="inlineStr">
        <is>
          <t>Failover Active/Standby Ready, Mgmt0/0 có IP standby 10.1.99.34; ASDM từ PC-Management 10.1.99.50 chạy được (17/10)</t>
        </is>
      </c>
      <c r="I52" s="45" t="s">
        <v>517</v>
      </c>
      <c r="J52" s="46"/>
    </row>
    <row r="53" spans="1:10" ht="87" customHeight="1">
      <c r="A53" s="41">
        <v>9</v>
      </c>
      <c r="B53" s="62" t="s">
        <v>596</v>
      </c>
      <c r="C53" s="62" t="s">
        <v>603</v>
      </c>
      <c r="D53" s="63" t="s">
        <v>604</v>
      </c>
      <c r="E53" s="58"/>
      <c r="F53" s="64">
        <v>46238</v>
      </c>
      <c r="G53" s="64">
        <v>46285</v>
      </c>
      <c r="H53" s="61" t="inlineStr">
        <is>
          <t>4 scope VLAN10/20/30/40 (.100–.199) Active trên DHCP-Server 10.1.90.10; 7/7 VPC Site 100 nhận IP đúng scope (kiểm lại 16/10)</t>
        </is>
      </c>
      <c r="I53" s="42" t="s">
        <v>517</v>
      </c>
      <c r="J53" s="43"/>
    </row>
    <row r="54" spans="1:10" ht="87" customHeight="1">
      <c r="A54" s="52">
        <v>10</v>
      </c>
      <c r="B54" s="67" t="s">
        <v>606</v>
      </c>
      <c r="C54" s="67" t="s">
        <v>607</v>
      </c>
      <c r="D54" s="68" t="s">
        <v>608</v>
      </c>
      <c r="E54" s="58"/>
      <c r="F54" s="69">
        <v>46235</v>
      </c>
      <c r="G54" s="69">
        <v>46286</v>
      </c>
      <c r="H54" s="66" t="inlineStr">
        <is>
          <t>Ryu 10.1.99.10:6653 kết nối 6/6 OVS (OpenFlow13, fail_mode secure, control qua VLAN 99); REST /stats/switches = 6</t>
        </is>
      </c>
      <c r="I54" s="56" t="s">
        <v>517</v>
      </c>
      <c r="J54" s="53"/>
    </row>
    <row r="55" spans="1:10" ht="87" customHeight="1">
      <c r="A55" s="41">
        <v>11</v>
      </c>
      <c r="B55" s="62" t="s">
        <v>606</v>
      </c>
      <c r="C55" s="62" t="s">
        <v>610</v>
      </c>
      <c r="D55" s="63" t="s">
        <v>611</v>
      </c>
      <c r="E55" s="58"/>
      <c r="F55" s="64">
        <v>46266</v>
      </c>
      <c r="G55" s="64">
        <v>46312</v>
      </c>
      <c r="H55" s="61" t="inlineStr">
        <is>
          <t>App Ryu v2: VLAN động, chính sách 2 bảng, tự phục hồi VLAN 99, RARP sau barrier; kịch bản S1–S6 ĐẠT; Campus SDN Console (NOC)</t>
        </is>
      </c>
      <c r="I55" s="42" t="s">
        <v>517</v>
      </c>
      <c r="J55" s="43"/>
    </row>
    <row r="56" spans="1:10" ht="87" customHeight="1">
      <c r="A56" s="44">
        <v>12</v>
      </c>
      <c r="B56" s="65" t="s">
        <v>613</v>
      </c>
      <c r="C56" s="65" t="s">
        <v>614</v>
      </c>
      <c r="D56" s="57" t="s">
        <v>615</v>
      </c>
      <c r="E56" s="58"/>
      <c r="F56" s="59">
        <v>46246</v>
      </c>
      <c r="G56" s="59">
        <v>46266</v>
      </c>
      <c r="H56" s="60" t="inlineStr">
        <is>
          <t>vManage/vSmart/vBond + Root CA SDWAN-Lab-RootCA, whitelist 8 vEdge trên 3 controller; control connections đủ (CA đã sao lưu 19/10)</t>
        </is>
      </c>
      <c r="I56" s="45" t="s">
        <v>517</v>
      </c>
      <c r="J56" s="46"/>
    </row>
    <row r="57" spans="1:10" ht="87" customHeight="1">
      <c r="A57" s="41">
        <v>13</v>
      </c>
      <c r="B57" s="62" t="s">
        <v>613</v>
      </c>
      <c r="C57" s="62" t="s">
        <v>617</v>
      </c>
      <c r="D57" s="63" t="s">
        <v>618</v>
      </c>
      <c r="E57" s="58"/>
      <c r="F57" s="64">
        <v>46249</v>
      </c>
      <c r="G57" s="64">
        <v>46288</v>
      </c>
      <c r="H57" s="61" t="inlineStr">
        <is>
          <t>8/8 vEdge lên fabric, BFD 56/56 (23/09), sau đó 72/72; mọi vEdge chuyển NIC virtio (13/10); mail cảnh báo Down/Up từ vManage</t>
        </is>
      </c>
      <c r="I57" s="42" t="s">
        <v>517</v>
      </c>
      <c r="J57" s="43"/>
    </row>
    <row r="58" spans="1:10" ht="87" customHeight="1">
      <c r="A58" s="44">
        <v>14</v>
      </c>
      <c r="B58" s="65" t="s">
        <v>613</v>
      </c>
      <c r="C58" s="65" t="s">
        <v>620</v>
      </c>
      <c r="D58" s="57" t="s">
        <v>621</v>
      </c>
      <c r="E58" s="58"/>
      <c r="F58" s="59">
        <v>46249</v>
      </c>
      <c r="G58" s="59">
        <v>46288</v>
      </c>
      <c r="H58" s="60" t="inlineStr">
        <is>
          <t>eBGP 64511↔64512 Established, service VPN 1 overlay 4 site thông (23/09), SLA/AAR/data policy trên vSmart; ping liên site qua tunnel</t>
        </is>
      </c>
      <c r="I58" s="45" t="s">
        <v>517</v>
      </c>
      <c r="J58" s="46"/>
    </row>
    <row r="59" spans="1:10" ht="87" customHeight="1">
      <c r="A59" s="41">
        <v>15</v>
      </c>
      <c r="B59" s="62" t="s">
        <v>623</v>
      </c>
      <c r="C59" s="62" t="s">
        <v>624</v>
      </c>
      <c r="D59" s="63" t="s">
        <v>625</v>
      </c>
      <c r="E59" s="58"/>
      <c r="F59" s="64">
        <v>46241</v>
      </c>
      <c r="G59" s="64">
        <v>46245</v>
      </c>
      <c r="H59" s="61" t="inlineStr">
        <is>
          <t>S200/S300/S400: Brand-FW cấp DHCP, Core IOL, VPC nhận IP đúng scope; running-config lưu về repo (11/08); VLAN 99 tới chi nhánh sửa 10/10</t>
        </is>
      </c>
      <c r="I59" s="42" t="s">
        <v>517</v>
      </c>
      <c r="J59" s="43"/>
    </row>
    <row r="60" spans="1:10" ht="87" customHeight="1">
      <c r="A60" s="44">
        <v>16</v>
      </c>
      <c r="B60" s="65" t="s">
        <v>623</v>
      </c>
      <c r="C60" s="65" t="s">
        <v>627</v>
      </c>
      <c r="D60" s="57" t="s">
        <v>628</v>
      </c>
      <c r="E60" s="58"/>
      <c r="F60" s="59">
        <v>46261</v>
      </c>
      <c r="G60" s="59">
        <v>46299</v>
      </c>
      <c r="H60" s="60" t="inlineStr">
        <is>
          <t>6 vEdge chi nhánh lên fabric; failover chi nhánh (26/09); Internet DIA tại chỗ + dự phòng qua MPLS, PC chi nhánh ra Internet (04/10)</t>
        </is>
      </c>
      <c r="I60" s="45" t="s">
        <v>517</v>
      </c>
      <c r="J60" s="46"/>
    </row>
    <row r="61" spans="1:10" ht="87" customHeight="1">
      <c r="A61" s="41">
        <v>17</v>
      </c>
      <c r="B61" s="62" t="s">
        <v>630</v>
      </c>
      <c r="C61" s="62" t="s">
        <v>631</v>
      </c>
      <c r="D61" s="63" t="s">
        <v>632</v>
      </c>
      <c r="E61" s="58"/>
      <c r="F61" s="64">
        <v>46246</v>
      </c>
      <c r="G61" s="64">
        <v>46312</v>
      </c>
      <c r="H61" s="61" t="inlineStr">
        <is>
          <t>Syslog 10.1.90.11 nhận log FW/Core (12/08); Web https://www.campus.internal + Mail hMailServer + DNS (24/09); ASDM qua PC-Management (17/10)</t>
        </is>
      </c>
      <c r="I61" s="42" t="s">
        <v>517</v>
      </c>
      <c r="J61" s="43"/>
    </row>
    <row r="62" spans="1:10" ht="87" customHeight="1">
      <c r="A62" s="44">
        <v>18</v>
      </c>
      <c r="B62" s="65" t="s">
        <v>634</v>
      </c>
      <c r="C62" s="65" t="s">
        <v>635</v>
      </c>
      <c r="D62" s="57" t="s">
        <v>636</v>
      </c>
      <c r="E62" s="58"/>
      <c r="F62" s="59">
        <v>46291</v>
      </c>
      <c r="G62" s="59">
        <v>46334</v>
      </c>
      <c r="H62" s="60" t="inlineStr">
        <is>
          <t>Ma trận test + log/ảnh cho Chương 4. Đã có: SDN S1–S6, cắt Dist-SW thật mất 1,8 s, SD-WAN failover + mail cảnh báo, FW HA, DHCP từng site. Còn: chạy lại trọn bộ, chốt số liệu trước 08/11 để kịp báo cáo sạch 20/11</t>
        </is>
      </c>
      <c r="I62" s="45" t="s">
        <v>529</v>
      </c>
      <c r="J62" s="46"/>
    </row>
    <row r="63" spans="1:10" ht="87" customHeight="1">
      <c r="A63" s="41">
        <v>19</v>
      </c>
      <c r="B63" s="43" t="str">
        <f>IFERROR(VLOOKUP($C$10&amp;"_"&amp;$A63, Khung_KeHoach_Chuan!$A$11:$J$91, 4, FALSE),"")</f>
        <v/>
      </c>
      <c r="C63" s="49" t="str">
        <f>IFERROR(VLOOKUP($C$10&amp;"_"&amp;$A63, Khung_KeHoach_Chuan!$A$11:$J$91, 5, FALSE),"")</f>
        <v/>
      </c>
      <c r="D63" s="50" t="str">
        <f>IFERROR(VLOOKUP($C$10&amp;"_"&amp;$A63, Khung_KeHoach_Chuan!$A$11:$J$91, 6, FALSE),"")</f>
        <v/>
      </c>
      <c r="E63" s="48"/>
      <c r="F63" s="42" t="str">
        <f>IFERROR(VLOOKUP($C$10&amp;"_"&amp;$A63, Khung_KeHoach_Chuan!$A$11:$J$91, 7, FALSE),"")</f>
        <v/>
      </c>
      <c r="G63" s="42" t="str">
        <f>IFERROR(VLOOKUP($C$10&amp;"_"&amp;$A63, Khung_KeHoach_Chuan!$A$11:$J$91, 8, FALSE),"")</f>
        <v/>
      </c>
      <c r="H63" s="43" t="str">
        <f>IFERROR(VLOOKUP($C$10&amp;"_"&amp;$A63, Khung_KeHoach_Chuan!$A$11:$J$91, 9, FALSE),"")</f>
        <v/>
      </c>
      <c r="I63" s="42" t="s">
        <v>518</v>
      </c>
      <c r="J63" s="43"/>
    </row>
    <row r="64" spans="1:10" ht="87" customHeight="1">
      <c r="A64" s="44">
        <v>20</v>
      </c>
      <c r="B64" s="46" t="str">
        <f>IFERROR(VLOOKUP($C$10&amp;"_"&amp;$A64, Khung_KeHoach_Chuan!$A$11:$J$91, 4, FALSE),"")</f>
        <v/>
      </c>
      <c r="C64" s="51" t="str">
        <f>IFERROR(VLOOKUP($C$10&amp;"_"&amp;$A64, Khung_KeHoach_Chuan!$A$11:$J$91, 5, FALSE),"")</f>
        <v/>
      </c>
      <c r="D64" s="47" t="str">
        <f>IFERROR(VLOOKUP($C$10&amp;"_"&amp;$A64, Khung_KeHoach_Chuan!$A$11:$J$91, 6, FALSE),"")</f>
        <v/>
      </c>
      <c r="E64" s="48"/>
      <c r="F64" s="45" t="str">
        <f>IFERROR(VLOOKUP($C$10&amp;"_"&amp;$A64, Khung_KeHoach_Chuan!$A$11:$J$91, 7, FALSE),"")</f>
        <v/>
      </c>
      <c r="G64" s="45" t="str">
        <f>IFERROR(VLOOKUP($C$10&amp;"_"&amp;$A64, Khung_KeHoach_Chuan!$A$11:$J$91, 8, FALSE),"")</f>
        <v/>
      </c>
      <c r="H64" s="46" t="str">
        <f>IFERROR(VLOOKUP($C$10&amp;"_"&amp;$A64, Khung_KeHoach_Chuan!$A$11:$J$91, 9, FALSE),"")</f>
        <v/>
      </c>
      <c r="I64" s="45" t="s">
        <v>518</v>
      </c>
      <c r="J64" s="46"/>
    </row>
    <row r="65" spans="1:10" ht="87" customHeight="1">
      <c r="A65" s="41">
        <v>21</v>
      </c>
      <c r="B65" s="43" t="str">
        <f>IFERROR(VLOOKUP($C$10&amp;"_"&amp;$A65, Khung_KeHoach_Chuan!$A$11:$J$91, 4, FALSE),"")</f>
        <v/>
      </c>
      <c r="C65" s="49" t="str">
        <f>IFERROR(VLOOKUP($C$10&amp;"_"&amp;$A65, Khung_KeHoach_Chuan!$A$11:$J$91, 5, FALSE),"")</f>
        <v/>
      </c>
      <c r="D65" s="50" t="str">
        <f>IFERROR(VLOOKUP($C$10&amp;"_"&amp;$A65, Khung_KeHoach_Chuan!$A$11:$J$91, 6, FALSE),"")</f>
        <v/>
      </c>
      <c r="E65" s="48"/>
      <c r="F65" s="42" t="str">
        <f>IFERROR(VLOOKUP($C$10&amp;"_"&amp;$A65, Khung_KeHoach_Chuan!$A$11:$J$91, 7, FALSE),"")</f>
        <v/>
      </c>
      <c r="G65" s="42" t="str">
        <f>IFERROR(VLOOKUP($C$10&amp;"_"&amp;$A65, Khung_KeHoach_Chuan!$A$11:$J$91, 8, FALSE),"")</f>
        <v/>
      </c>
      <c r="H65" s="43" t="str">
        <f>IFERROR(VLOOKUP($C$10&amp;"_"&amp;$A65, Khung_KeHoach_Chuan!$A$11:$J$91, 9, FALSE),"")</f>
        <v/>
      </c>
      <c r="I65" s="42" t="s">
        <v>518</v>
      </c>
      <c r="J65" s="43"/>
    </row>
    <row r="66" spans="1:10" ht="87" customHeight="1">
      <c r="A66" s="52">
        <v>22</v>
      </c>
      <c r="B66" s="53" t="str">
        <f>IFERROR(VLOOKUP($C$10&amp;"_"&amp;$A66, Khung_KeHoach_Chuan!$A$11:$J$91, 4, FALSE),"")</f>
        <v/>
      </c>
      <c r="C66" s="54" t="str">
        <f>IFERROR(VLOOKUP($C$10&amp;"_"&amp;$A66, Khung_KeHoach_Chuan!$A$11:$J$91, 5, FALSE),"")</f>
        <v/>
      </c>
      <c r="D66" s="55" t="str">
        <f>IFERROR(VLOOKUP($C$10&amp;"_"&amp;$A66, Khung_KeHoach_Chuan!$A$11:$J$91, 6, FALSE),"")</f>
        <v/>
      </c>
      <c r="E66" s="48"/>
      <c r="F66" s="56" t="str">
        <f>IFERROR(VLOOKUP($C$10&amp;"_"&amp;$A66, Khung_KeHoach_Chuan!$A$11:$J$91, 7, FALSE),"")</f>
        <v/>
      </c>
      <c r="G66" s="56" t="str">
        <f>IFERROR(VLOOKUP($C$10&amp;"_"&amp;$A66, Khung_KeHoach_Chuan!$A$11:$J$91, 8, FALSE),"")</f>
        <v/>
      </c>
      <c r="H66" s="53" t="str">
        <f>IFERROR(VLOOKUP($C$10&amp;"_"&amp;$A66, Khung_KeHoach_Chuan!$A$11:$J$91, 9, FALSE),"")</f>
        <v/>
      </c>
      <c r="I66" s="56" t="s">
        <v>518</v>
      </c>
      <c r="J66" s="53"/>
    </row>
    <row r="67" spans="1:10" ht="87" customHeight="1">
      <c r="A67" s="52">
        <v>23</v>
      </c>
      <c r="B67" s="53" t="str">
        <f>IFERROR(VLOOKUP($C$10&amp;"_"&amp;$A67, Khung_KeHoach_Chuan!$A$11:$J$91, 4, FALSE),"")</f>
        <v/>
      </c>
      <c r="C67" s="54" t="str">
        <f>IFERROR(VLOOKUP($C$10&amp;"_"&amp;$A67, Khung_KeHoach_Chuan!$A$11:$J$91, 5, FALSE),"")</f>
        <v/>
      </c>
      <c r="D67" s="55" t="str">
        <f>IFERROR(VLOOKUP($C$10&amp;"_"&amp;$A67, Khung_KeHoach_Chuan!$A$11:$J$91, 6, FALSE),"")</f>
        <v/>
      </c>
      <c r="E67" s="48"/>
      <c r="F67" s="56" t="str">
        <f>IFERROR(VLOOKUP($C$10&amp;"_"&amp;$A67, Khung_KeHoach_Chuan!$A$11:$J$91, 7, FALSE),"")</f>
        <v/>
      </c>
      <c r="G67" s="56" t="str">
        <f>IFERROR(VLOOKUP($C$10&amp;"_"&amp;$A67, Khung_KeHoach_Chuan!$A$11:$J$91, 8, FALSE),"")</f>
        <v/>
      </c>
      <c r="H67" s="53" t="str">
        <f>IFERROR(VLOOKUP($C$10&amp;"_"&amp;$A67, Khung_KeHoach_Chuan!$A$11:$J$91, 9, FALSE),"")</f>
        <v/>
      </c>
      <c r="I67" s="56" t="s">
        <v>518</v>
      </c>
      <c r="J67" s="53"/>
    </row>
    <row r="68" spans="1:10" ht="87" customHeight="1">
      <c r="A68" s="44">
        <v>24</v>
      </c>
      <c r="B68" s="46" t="str">
        <f>IFERROR(VLOOKUP($C$10&amp;"_"&amp;$A68, Khung_KeHoach_Chuan!$A$11:$J$91, 4, FALSE),"")</f>
        <v/>
      </c>
      <c r="C68" s="51" t="str">
        <f>IFERROR(VLOOKUP($C$10&amp;"_"&amp;$A68, Khung_KeHoach_Chuan!$A$11:$J$91, 5, FALSE),"")</f>
        <v/>
      </c>
      <c r="D68" s="47" t="str">
        <f>IFERROR(VLOOKUP($C$10&amp;"_"&amp;$A68, Khung_KeHoach_Chuan!$A$11:$J$91, 6, FALSE),"")</f>
        <v/>
      </c>
      <c r="E68" s="48"/>
      <c r="F68" s="45" t="str">
        <f>IFERROR(VLOOKUP($C$10&amp;"_"&amp;$A68, Khung_KeHoach_Chuan!$A$11:$J$91, 7, FALSE),"")</f>
        <v/>
      </c>
      <c r="G68" s="45" t="str">
        <f>IFERROR(VLOOKUP($C$10&amp;"_"&amp;$A68, Khung_KeHoach_Chuan!$A$11:$J$91, 8, FALSE),"")</f>
        <v/>
      </c>
      <c r="H68" s="46" t="str">
        <f>IFERROR(VLOOKUP($C$10&amp;"_"&amp;$A68, Khung_KeHoach_Chuan!$A$11:$J$91, 9, FALSE),"")</f>
        <v/>
      </c>
      <c r="I68" s="45" t="s">
        <v>518</v>
      </c>
      <c r="J68" s="46"/>
    </row>
    <row r="69" spans="1:10" ht="87" customHeight="1">
      <c r="A69" s="41">
        <v>25</v>
      </c>
      <c r="B69" s="43" t="str">
        <f>IFERROR(VLOOKUP($C$10&amp;"_"&amp;$A69, Khung_KeHoach_Chuan!$A$11:$J$91, 4, FALSE),"")</f>
        <v/>
      </c>
      <c r="C69" s="49" t="str">
        <f>IFERROR(VLOOKUP($C$10&amp;"_"&amp;$A69, Khung_KeHoach_Chuan!$A$11:$J$91, 5, FALSE),"")</f>
        <v/>
      </c>
      <c r="D69" s="50" t="str">
        <f>IFERROR(VLOOKUP($C$10&amp;"_"&amp;$A69, Khung_KeHoach_Chuan!$A$11:$J$91, 6, FALSE),"")</f>
        <v/>
      </c>
      <c r="E69" s="48"/>
      <c r="F69" s="42" t="str">
        <f>IFERROR(VLOOKUP($C$10&amp;"_"&amp;$A69, Khung_KeHoach_Chuan!$A$11:$J$91, 7, FALSE),"")</f>
        <v/>
      </c>
      <c r="G69" s="42" t="str">
        <f>IFERROR(VLOOKUP($C$10&amp;"_"&amp;$A69, Khung_KeHoach_Chuan!$A$11:$J$91, 8, FALSE),"")</f>
        <v/>
      </c>
      <c r="H69" s="43" t="str">
        <f>IFERROR(VLOOKUP($C$10&amp;"_"&amp;$A69, Khung_KeHoach_Chuan!$A$11:$J$91, 9, FALSE),"")</f>
        <v/>
      </c>
      <c r="I69" s="42" t="s">
        <v>518</v>
      </c>
      <c r="J69" s="43"/>
    </row>
    <row r="70" spans="1:10" ht="87" customHeight="1">
      <c r="A70" s="44">
        <v>26</v>
      </c>
      <c r="B70" s="46" t="str">
        <f>IFERROR(VLOOKUP($C$10&amp;"_"&amp;$A70, Khung_KeHoach_Chuan!$A$11:$J$91, 4, FALSE),"")</f>
        <v/>
      </c>
      <c r="C70" s="51" t="str">
        <f>IFERROR(VLOOKUP($C$10&amp;"_"&amp;$A70, Khung_KeHoach_Chuan!$A$11:$J$91, 5, FALSE),"")</f>
        <v/>
      </c>
      <c r="D70" s="47" t="str">
        <f>IFERROR(VLOOKUP($C$10&amp;"_"&amp;$A70, Khung_KeHoach_Chuan!$A$11:$J$91, 6, FALSE),"")</f>
        <v/>
      </c>
      <c r="E70" s="48"/>
      <c r="F70" s="45" t="str">
        <f>IFERROR(VLOOKUP($C$10&amp;"_"&amp;$A70, Khung_KeHoach_Chuan!$A$11:$J$91, 7, FALSE),"")</f>
        <v/>
      </c>
      <c r="G70" s="45" t="str">
        <f>IFERROR(VLOOKUP($C$10&amp;"_"&amp;$A70, Khung_KeHoach_Chuan!$A$11:$J$91, 8, FALSE),"")</f>
        <v/>
      </c>
      <c r="H70" s="46" t="str">
        <f>IFERROR(VLOOKUP($C$10&amp;"_"&amp;$A70, Khung_KeHoach_Chuan!$A$11:$J$91, 9, FALSE),"")</f>
        <v/>
      </c>
      <c r="I70" s="45" t="s">
        <v>518</v>
      </c>
      <c r="J70" s="46"/>
    </row>
    <row r="71" spans="1:10" ht="87" customHeight="1">
      <c r="A71" s="52">
        <v>27</v>
      </c>
      <c r="B71" s="53" t="str">
        <f>IFERROR(VLOOKUP($C$10&amp;"_"&amp;$A71, Khung_KeHoach_Chuan!$A$11:$J$91, 4, FALSE),"")</f>
        <v/>
      </c>
      <c r="C71" s="54" t="str">
        <f>IFERROR(VLOOKUP($C$10&amp;"_"&amp;$A71, Khung_KeHoach_Chuan!$A$11:$J$91, 5, FALSE),"")</f>
        <v/>
      </c>
      <c r="D71" s="55" t="str">
        <f>IFERROR(VLOOKUP($C$10&amp;"_"&amp;$A71, Khung_KeHoach_Chuan!$A$11:$J$91, 6, FALSE),"")</f>
        <v/>
      </c>
      <c r="E71" s="48"/>
      <c r="F71" s="56" t="str">
        <f>IFERROR(VLOOKUP($C$10&amp;"_"&amp;$A71, Khung_KeHoach_Chuan!$A$11:$J$91, 7, FALSE),"")</f>
        <v/>
      </c>
      <c r="G71" s="56" t="str">
        <f>IFERROR(VLOOKUP($C$10&amp;"_"&amp;$A71, Khung_KeHoach_Chuan!$A$11:$J$91, 8, FALSE),"")</f>
        <v/>
      </c>
      <c r="H71" s="53" t="str">
        <f>IFERROR(VLOOKUP($C$10&amp;"_"&amp;$A71, Khung_KeHoach_Chuan!$A$11:$J$91, 9, FALSE),"")</f>
        <v/>
      </c>
      <c r="I71" s="56" t="s">
        <v>518</v>
      </c>
      <c r="J71" s="53"/>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600-000000000000}">
      <formula1>"Dự án CNTT,Đồ án tốt nghiệp,Khóa luận tốt nghiệp,Dự án + Đồ án,Dự án + Khóa luận"</formula1>
    </dataValidation>
    <dataValidation type="list" allowBlank="1" sqref="I16:I42" xr:uid="{00000000-0002-0000-0600-000001000000}">
      <formula1>"Chưa bắt đầu,Đang thực hiện,Hoàn thành,Tạm hoãn - Bị chặn"</formula1>
    </dataValidation>
    <dataValidation type="list" allowBlank="1" showInputMessage="1" showErrorMessage="1" sqref="C10" xr:uid="{07D6DD32-718A-455D-85BB-62D3E1DFE564}">
      <formula1>"Dự án CNTT,Đồ án tốt nghiệp,Khóa luận tốt nghiệp"</formula1>
    </dataValidation>
    <dataValidation type="list" allowBlank="1" showInputMessage="1" showErrorMessage="1" sqref="I45:I71" xr:uid="{02A70D06-2FE7-4F82-BFF4-420CFCDD2973}">
      <formula1>"Chưa bắt đầu,Đang thực hiện,Hoàn thành,Tạm hoãn - Bị chặn"</formula1>
    </dataValidation>
  </dataValidations>
  <hyperlinks>
    <hyperlink ref="C7" r:id="rId1" xr:uid="{99664AC9-4174-494F-9407-84CB16B85C45}"/>
    <hyperlink ref="G7" r:id="rId2" xr:uid="{3973227C-6FA0-4B40-92D3-ACCF91606EB4}"/>
  </hyperlinks>
  <pageMargins left="0.75" right="0.75" top="1" bottom="1" header="0" footer="0"/>
  <pageSetup orientation="landscape"/>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topLeftCell="E10" workbookViewId="0">
      <selection activeCell="I18" sqref="I18"/>
    </sheetView>
  </sheetViews>
  <sheetFormatPr defaultColWidth="14.42578125" defaultRowHeight="15" customHeight="1"/>
  <cols>
    <col min="1" max="1" width="20.140625"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638</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53</v>
      </c>
      <c r="D4" s="1"/>
      <c r="E4" s="1"/>
      <c r="F4" s="22" t="s">
        <v>488</v>
      </c>
      <c r="G4" s="24" t="s">
        <v>489</v>
      </c>
      <c r="H4" s="1"/>
      <c r="I4" s="1"/>
      <c r="J4" s="38"/>
      <c r="L4" s="37" t="str">
        <f>IF(OR($C$4="Dự án + Đồ án",$C$4="Dự án + Khóa luận"),"Dự án CNTT",$C$4)</f>
        <v>Đồ án tốt nghiệp</v>
      </c>
    </row>
    <row r="5" spans="1:12" ht="42.75">
      <c r="A5" s="17" t="s">
        <v>490</v>
      </c>
      <c r="B5" s="1"/>
      <c r="C5" s="86" t="s">
        <v>639</v>
      </c>
      <c r="D5" s="87"/>
      <c r="E5" s="87"/>
      <c r="F5" s="87"/>
      <c r="G5" s="87"/>
      <c r="H5" s="87"/>
      <c r="I5" s="88"/>
      <c r="J5" s="38"/>
    </row>
    <row r="6" spans="1:12" ht="71.25">
      <c r="A6" s="22" t="s">
        <v>492</v>
      </c>
      <c r="B6" s="1"/>
      <c r="C6" s="10" t="s">
        <v>640</v>
      </c>
      <c r="D6" s="1"/>
      <c r="E6" s="1"/>
      <c r="F6" s="22" t="s">
        <v>494</v>
      </c>
      <c r="G6" s="10" t="s">
        <v>641</v>
      </c>
      <c r="H6" s="1"/>
      <c r="I6" s="1"/>
      <c r="J6" s="38"/>
    </row>
    <row r="7" spans="1:12" ht="42.75">
      <c r="A7" s="22" t="s">
        <v>496</v>
      </c>
      <c r="B7" s="1"/>
      <c r="C7" s="40" t="s">
        <v>642</v>
      </c>
      <c r="D7" s="1"/>
      <c r="E7" s="1"/>
      <c r="F7" s="22" t="s">
        <v>498</v>
      </c>
      <c r="G7" s="25" t="s">
        <v>643</v>
      </c>
      <c r="H7" s="1"/>
      <c r="I7" s="1"/>
      <c r="J7" s="38"/>
    </row>
    <row r="8" spans="1:12" ht="42.75">
      <c r="A8" s="22" t="s">
        <v>500</v>
      </c>
      <c r="B8" s="1"/>
      <c r="C8" s="17" t="str">
        <f>VLOOKUP($L$4, Khung_KeHoach_Chuan!$A$5:$H$7, 2, FALSE)</f>
        <v>2026-08-24</v>
      </c>
      <c r="D8" s="1"/>
      <c r="E8" s="1"/>
      <c r="F8" s="22" t="s">
        <v>501</v>
      </c>
      <c r="G8" s="26" t="str">
        <f>VLOOKUP($L$4, Khung_KeHoach_Chuan!$A$5:$H$7, 4, FALSE)</f>
        <v>2026-12-10</v>
      </c>
      <c r="H8" s="1"/>
      <c r="I8" s="1"/>
      <c r="J8" s="38"/>
    </row>
    <row r="9" spans="1:12" ht="57">
      <c r="A9" s="22" t="s">
        <v>502</v>
      </c>
      <c r="B9" s="1"/>
      <c r="C9" s="26" t="str">
        <f>VLOOKUP($L$4, Khung_KeHoach_Chuan!$A$5:$H$7, 5, FALSE)</f>
        <v>2026-12-27</v>
      </c>
      <c r="D9" s="1"/>
      <c r="E9" s="1"/>
      <c r="F9" s="22" t="s">
        <v>503</v>
      </c>
      <c r="G9" s="27" t="str">
        <f>VLOOKUP($L$4, Khung_KeHoach_Chuan!$A$5:$H$7, 7, FALSE)</f>
        <v>13/01/2027 – 18/01/2027</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3</v>
      </c>
      <c r="C13" s="3">
        <f>COUNTIF(I16:I42, "Đang thực hiện") + IF($C$10&lt;&gt;"", COUNTIF(I45:I71, "Đang thực hiện"), 0)</f>
        <v>6</v>
      </c>
      <c r="D13" s="4">
        <f>COUNTIF(I16:I42, "Chưa bắt đầu") + IF($C$10&lt;&gt;"", COUNTIF(I45:I71, "Chưa bắt đầu"), 0)</f>
        <v>18</v>
      </c>
      <c r="E13" s="4"/>
      <c r="F13" s="29">
        <f>COUNTIF(I16:I42, "Tạm hoãn - Bị chặn") + IF($C$10&lt;&gt;"", COUNTIF(I45:I71, "Tạm hoãn - Bị chặn"), 0)</f>
        <v>0</v>
      </c>
      <c r="G13" s="28" t="str">
        <f>G8</f>
        <v>2026-12-10</v>
      </c>
      <c r="H13" s="30">
        <f>B13/A13</f>
        <v>0.1111111111111111</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28.5">
      <c r="A16" s="9">
        <v>1</v>
      </c>
      <c r="B16" s="10" t="str">
        <f>VLOOKUP($L$4&amp;"_"&amp;$A16, Khung_KeHoach_Chuan!$A$11:$J$91, 4, FALSE)</f>
        <v>I. ĐỊNH HƯỚNG &amp; PHƯƠNG PHÁP LUẬN</v>
      </c>
      <c r="C16" s="17" t="str">
        <f>VLOOKUP($L$4&amp;"_"&amp;$A16, Khung_KeHoach_Chuan!$A$11:$J$91, 5, FALSE)</f>
        <v>Xác định đề tài nghiên cứu ứng dụng ML trong SDN/SD-WAN &amp; phạm vi ĐATN</v>
      </c>
      <c r="D16" s="33" t="str">
        <f>VLOOKUP($L$4&amp;"_"&amp;$A16, Khung_KeHoach_Chuan!$A$11:$J$91, 6, FALSE)</f>
        <v>Bài toán mạng cụ thể (định tuyến thông minh/phát hiện tấn công/tối ưu QoS bằng ML), mục tiêu &amp; phạm vi</v>
      </c>
      <c r="E16" s="35"/>
      <c r="F16" s="11" t="str">
        <f>VLOOKUP($L$4&amp;"_"&amp;$A16, Khung_KeHoach_Chuan!$A$11:$J$91, 7, FALSE)</f>
        <v>2026-08-24</v>
      </c>
      <c r="G16" s="11" t="str">
        <f>VLOOKUP($L$4&amp;"_"&amp;$A16, Khung_KeHoach_Chuan!$A$11:$J$91, 8, FALSE)</f>
        <v>2026-08-31</v>
      </c>
      <c r="H16" s="10" t="str">
        <f>VLOOKUP($L$4&amp;"_"&amp;$A16, Khung_KeHoach_Chuan!$A$11:$J$91, 9, FALSE)</f>
        <v>Đề cương chi tiết ĐATN + Tuyên bố bài toán &amp; phạm vi ứng dụng ML/SDN</v>
      </c>
      <c r="I16" s="11" t="s">
        <v>529</v>
      </c>
      <c r="J16" s="10"/>
    </row>
    <row r="17" spans="1:10" ht="28.5">
      <c r="A17" s="13">
        <v>2</v>
      </c>
      <c r="B17" s="14" t="str">
        <f>VLOOKUP($L$4&amp;"_"&amp;$A17, Khung_KeHoach_Chuan!$A$11:$J$91, 4, FALSE)</f>
        <v>I. ĐỊNH HƯỚNG &amp; PHƯƠNG PHÁP LUẬN</v>
      </c>
      <c r="C17" s="16" t="str">
        <f>VLOOKUP($L$4&amp;"_"&amp;$A17, Khung_KeHoach_Chuan!$A$11:$J$91, 5, FALSE)</f>
        <v>Khảo sát tài liệu học thuật về SDN/SD-WAN &amp; các mô hình ML liên quan</v>
      </c>
      <c r="D17" s="32" t="str">
        <f>VLOOKUP($L$4&amp;"_"&amp;$A17, Khung_KeHoach_Chuan!$A$11:$J$91, 6, FALSE)</f>
        <v>Tổng hợp bài báo, giải pháp hiện có; phân tích ưu nhược điểm các phương pháp ML trong quản lý mạng</v>
      </c>
      <c r="E17" s="35"/>
      <c r="F17" s="15" t="str">
        <f>VLOOKUP($L$4&amp;"_"&amp;$A17, Khung_KeHoach_Chuan!$A$11:$J$91, 7, FALSE)</f>
        <v>2026-08-24</v>
      </c>
      <c r="G17" s="15" t="str">
        <f>VLOOKUP($L$4&amp;"_"&amp;$A17, Khung_KeHoach_Chuan!$A$11:$J$91, 8, FALSE)</f>
        <v>2026-09-05</v>
      </c>
      <c r="H17" s="14" t="str">
        <f>VLOOKUP($L$4&amp;"_"&amp;$A17, Khung_KeHoach_Chuan!$A$11:$J$91, 9, FALSE)</f>
        <v>Báo cáo tổng quan nghiên cứu (Literature Review v1)</v>
      </c>
      <c r="I17" s="15" t="s">
        <v>529</v>
      </c>
      <c r="J17" s="14"/>
    </row>
    <row r="18" spans="1:10" ht="28.5">
      <c r="A18" s="9">
        <v>3</v>
      </c>
      <c r="B18" s="10" t="str">
        <f>VLOOKUP($L$4&amp;"_"&amp;$A18, Khung_KeHoach_Chuan!$A$11:$J$91, 4, FALSE)</f>
        <v>I. ĐỊNH HƯỚNG &amp; PHƯƠNG PHÁP LUẬN</v>
      </c>
      <c r="C18" s="17" t="str">
        <f>VLOOKUP($L$4&amp;"_"&amp;$A18, Khung_KeHoach_Chuan!$A$11:$J$91, 5, FALSE)</f>
        <v>Đề xuất kiến trúc giải pháp SDN/SD-WAN tích hợp ML</v>
      </c>
      <c r="D18" s="33" t="str">
        <f>VLOOKUP($L$4&amp;"_"&amp;$A18, Khung_KeHoach_Chuan!$A$11:$J$91, 6, FALSE)</f>
        <v>Controller, mô hình ML đề xuất (thuật toán, kiến trúc mạng nơ-ron nếu có), luồng xử lý dữ liệu</v>
      </c>
      <c r="E18" s="35"/>
      <c r="F18" s="11" t="str">
        <f>VLOOKUP($L$4&amp;"_"&amp;$A18, Khung_KeHoach_Chuan!$A$11:$J$91, 7, FALSE)</f>
        <v>2026-09-01</v>
      </c>
      <c r="G18" s="11" t="str">
        <f>VLOOKUP($L$4&amp;"_"&amp;$A18, Khung_KeHoach_Chuan!$A$11:$J$91, 8, FALSE)</f>
        <v>2026-09-08</v>
      </c>
      <c r="H18" s="10" t="str">
        <f>VLOOKUP($L$4&amp;"_"&amp;$A18, Khung_KeHoach_Chuan!$A$11:$J$91, 9, FALSE)</f>
        <v>Sơ đồ kiến trúc giải pháp đề xuất + Lý giải lựa chọn</v>
      </c>
      <c r="I18" s="11" t="s">
        <v>517</v>
      </c>
      <c r="J18" s="10"/>
    </row>
    <row r="19" spans="1:10" ht="28.5">
      <c r="A19" s="13">
        <v>4</v>
      </c>
      <c r="B19" s="14" t="str">
        <f>VLOOKUP($L$4&amp;"_"&amp;$A19, Khung_KeHoach_Chuan!$A$11:$J$91, 4, FALSE)</f>
        <v>I. ĐỊNH HƯỚNG &amp; PHƯƠNG PHÁP LUẬN</v>
      </c>
      <c r="C19" s="16" t="str">
        <f>VLOOKUP($L$4&amp;"_"&amp;$A19, Khung_KeHoach_Chuan!$A$11:$J$91, 5, FALSE)</f>
        <v>Lập kế hoạch WBS 18 tuần, phân công &amp; quản trị rủi ro</v>
      </c>
      <c r="D19" s="32" t="str">
        <f>VLOOKUP($L$4&amp;"_"&amp;$A19, Khung_KeHoach_Chuan!$A$11:$J$91, 6, FALSE)</f>
        <v>Phân rã công việc thu thập dữ liệu mạng, huấn luyện mô hình, tích hợp hệ thống; Git repo, Drive</v>
      </c>
      <c r="E19" s="35"/>
      <c r="F19" s="15" t="str">
        <f>VLOOKUP($L$4&amp;"_"&amp;$A19, Khung_KeHoach_Chuan!$A$11:$J$91, 7, FALSE)</f>
        <v>2026-09-03</v>
      </c>
      <c r="G19" s="15" t="str">
        <f>VLOOKUP($L$4&amp;"_"&amp;$A19, Khung_KeHoach_Chuan!$A$11:$J$91, 8, FALSE)</f>
        <v>2026-09-10</v>
      </c>
      <c r="H19" s="14" t="str">
        <f>VLOOKUP($L$4&amp;"_"&amp;$A19, Khung_KeHoach_Chuan!$A$11:$J$91, 9, FALSE)</f>
        <v>WBS Roadmap 18 tuần + Git repo + Quy chế làm việc</v>
      </c>
      <c r="I19" s="15" t="s">
        <v>517</v>
      </c>
      <c r="J19" s="14"/>
    </row>
    <row r="20" spans="1:10" ht="28.5">
      <c r="A20" s="9">
        <v>5</v>
      </c>
      <c r="B20" s="10" t="str">
        <f>VLOOKUP($L$4&amp;"_"&amp;$A20, Khung_KeHoach_Chuan!$A$11:$J$91, 4, FALSE)</f>
        <v>II. THIẾT KẾ &amp; CHUẨN BỊ</v>
      </c>
      <c r="C20" s="17" t="str">
        <f>VLOOKUP($L$4&amp;"_"&amp;$A20, Khung_KeHoach_Chuan!$A$11:$J$91, 5, FALSE)</f>
        <v>Thiết kế kiến trúc hệ thống, thuật toán ML &amp; cơ sở dữ liệu mạng</v>
      </c>
      <c r="D20" s="33" t="str">
        <f>VLOOKUP($L$4&amp;"_"&amp;$A20, Khung_KeHoach_Chuan!$A$11:$J$91, 6, FALSE)</f>
        <v>Kiến trúc controller-ML engine, thuật toán xử lý, schema lưu trữ flow/traffic data</v>
      </c>
      <c r="E20" s="35"/>
      <c r="F20" s="11" t="str">
        <f>VLOOKUP($L$4&amp;"_"&amp;$A20, Khung_KeHoach_Chuan!$A$11:$J$91, 7, FALSE)</f>
        <v>2026-09-08</v>
      </c>
      <c r="G20" s="11" t="str">
        <f>VLOOKUP($L$4&amp;"_"&amp;$A20, Khung_KeHoach_Chuan!$A$11:$J$91, 8, FALSE)</f>
        <v>2026-09-19</v>
      </c>
      <c r="H20" s="10" t="str">
        <f>VLOOKUP($L$4&amp;"_"&amp;$A20, Khung_KeHoach_Chuan!$A$11:$J$91, 9, FALSE)</f>
        <v>Tài liệu đặc tả thiết kế chi tiết (System Architecture)</v>
      </c>
      <c r="I20" s="11" t="s">
        <v>529</v>
      </c>
      <c r="J20" s="10"/>
    </row>
    <row r="21" spans="1:10" ht="28.5">
      <c r="A21" s="13">
        <v>6</v>
      </c>
      <c r="B21" s="14" t="str">
        <f>VLOOKUP($L$4&amp;"_"&amp;$A21, Khung_KeHoach_Chuan!$A$11:$J$91, 4, FALSE)</f>
        <v>II. THIẾT KẾ &amp; CHUẨN BỊ</v>
      </c>
      <c r="C21" s="16" t="str">
        <f>VLOOKUP($L$4&amp;"_"&amp;$A21, Khung_KeHoach_Chuan!$A$11:$J$91, 5, FALSE)</f>
        <v>Chuẩn bị hạ tầng thử nghiệm SDN/SD-WAN, dataset &amp; công cụ</v>
      </c>
      <c r="D21" s="32" t="str">
        <f>VLOOKUP($L$4&amp;"_"&amp;$A21, Khung_KeHoach_Chuan!$A$11:$J$91, 6, FALSE)</f>
        <v>Testbed (Mininet/Containerlab/GNS3), thu thập/tìm dataset traffic chuẩn, cài đặt công cụ ML</v>
      </c>
      <c r="E21" s="35"/>
      <c r="F21" s="15" t="str">
        <f>VLOOKUP($L$4&amp;"_"&amp;$A21, Khung_KeHoach_Chuan!$A$11:$J$91, 7, FALSE)</f>
        <v>2026-09-11</v>
      </c>
      <c r="G21" s="15" t="str">
        <f>VLOOKUP($L$4&amp;"_"&amp;$A21, Khung_KeHoach_Chuan!$A$11:$J$91, 8, FALSE)</f>
        <v>2026-09-19</v>
      </c>
      <c r="H21" s="14" t="str">
        <f>VLOOKUP($L$4&amp;"_"&amp;$A21, Khung_KeHoach_Chuan!$A$11:$J$91, 9, FALSE)</f>
        <v>Môi trường thực nghiệm chuẩn hóa + Bộ công cụ thử nghiệm</v>
      </c>
      <c r="I21" s="15" t="s">
        <v>517</v>
      </c>
      <c r="J21" s="14"/>
    </row>
    <row r="22" spans="1:10" ht="28.5">
      <c r="A22" s="9">
        <v>7</v>
      </c>
      <c r="B22" s="10" t="str">
        <f>VLOOKUP($L$4&amp;"_"&amp;$A22, Khung_KeHoach_Chuan!$A$11:$J$91, 4, FALSE)</f>
        <v>II. THIẾT KẾ &amp; CHUẨN BỊ</v>
      </c>
      <c r="C22" s="17" t="str">
        <f>VLOOKUP($L$4&amp;"_"&amp;$A22, Khung_KeHoach_Chuan!$A$11:$J$91, 5, FALSE)</f>
        <v>Xây dựng kịch bản thực nghiệm &amp; Baseline đánh giá</v>
      </c>
      <c r="D22" s="33" t="str">
        <f>VLOOKUP($L$4&amp;"_"&amp;$A22, Khung_KeHoach_Chuan!$A$11:$J$91, 6, FALSE)</f>
        <v>Kịch bản mô phỏng lưu lượng/tấn công, đối tượng baseline so sánh, độ đo đánh giá</v>
      </c>
      <c r="E22" s="35"/>
      <c r="F22" s="11" t="str">
        <f>VLOOKUP($L$4&amp;"_"&amp;$A22, Khung_KeHoach_Chuan!$A$11:$J$91, 7, FALSE)</f>
        <v>2026-09-15</v>
      </c>
      <c r="G22" s="11" t="str">
        <f>VLOOKUP($L$4&amp;"_"&amp;$A22, Khung_KeHoach_Chuan!$A$11:$J$91, 8, FALSE)</f>
        <v>2026-09-22</v>
      </c>
      <c r="H22" s="10" t="str">
        <f>VLOOKUP($L$4&amp;"_"&amp;$A22, Khung_KeHoach_Chuan!$A$11:$J$91, 9, FALSE)</f>
        <v>Kịch bản thực nghiệm chi tiết + Danh mục Benchmark</v>
      </c>
      <c r="I22" s="11" t="s">
        <v>529</v>
      </c>
      <c r="J22" s="10"/>
    </row>
    <row r="23" spans="1:10" ht="28.5">
      <c r="A23" s="13">
        <v>8</v>
      </c>
      <c r="B23" s="14" t="str">
        <f>VLOOKUP($L$4&amp;"_"&amp;$A23, Khung_KeHoach_Chuan!$A$11:$J$91, 4, FALSE)</f>
        <v>II. THIẾT KẾ &amp; CHUẨN BỊ</v>
      </c>
      <c r="C23" s="16" t="str">
        <f>VLOOKUP($L$4&amp;"_"&amp;$A23, Khung_KeHoach_Chuan!$A$11:$J$91, 5, FALSE)</f>
        <v>Thực hiện PoC kiểm chứng tính khả thi của giải pháp đề xuất</v>
      </c>
      <c r="D23" s="32" t="str">
        <f>VLOOKUP($L$4&amp;"_"&amp;$A23, Khung_KeHoach_Chuan!$A$11:$J$91, 6, FALSE)</f>
        <v>Chạy thử giải pháp trên topology thu gọn để chứng minh khả năng triển khai thực tế</v>
      </c>
      <c r="E23" s="35"/>
      <c r="F23" s="15" t="str">
        <f>VLOOKUP($L$4&amp;"_"&amp;$A23, Khung_KeHoach_Chuan!$A$11:$J$91, 7, FALSE)</f>
        <v>2026-09-16</v>
      </c>
      <c r="G23" s="15" t="str">
        <f>VLOOKUP($L$4&amp;"_"&amp;$A23, Khung_KeHoach_Chuan!$A$11:$J$91, 8, FALSE)</f>
        <v>2026-09-24</v>
      </c>
      <c r="H23" s="14" t="str">
        <f>VLOOKUP($L$4&amp;"_"&amp;$A23, Khung_KeHoach_Chuan!$A$11:$J$91, 9, FALSE)</f>
        <v>Báo cáo thực nghiệm PoC + Đánh giá tính khả thi</v>
      </c>
      <c r="I23" s="15" t="s">
        <v>529</v>
      </c>
      <c r="J23" s="14"/>
    </row>
    <row r="24" spans="1:10" ht="28.5">
      <c r="A24" s="9">
        <v>9</v>
      </c>
      <c r="B24" s="10" t="str">
        <f>VLOOKUP($L$4&amp;"_"&amp;$A24, Khung_KeHoach_Chuan!$A$11:$J$91, 4, FALSE)</f>
        <v>III. TRIỂN KHAI / THỰC NGHIỆM</v>
      </c>
      <c r="C24" s="17" t="str">
        <f>VLOOKUP($L$4&amp;"_"&amp;$A24, Khung_KeHoach_Chuan!$A$11:$J$91, 5, FALSE)</f>
        <v>Xây dựng Prototype/MVP: hệ thống SDN/SD-WAN vận hành ổn định</v>
      </c>
      <c r="D24" s="33" t="str">
        <f>VLOOKUP($L$4&amp;"_"&amp;$A24, Khung_KeHoach_Chuan!$A$11:$J$91, 6, FALSE)</f>
        <v>Hoàn thiện module trung tâm (controller + orchestrator), luồng dữ liệu thông suốt đầu-cuối</v>
      </c>
      <c r="E24" s="35"/>
      <c r="F24" s="11" t="str">
        <f>VLOOKUP($L$4&amp;"_"&amp;$A24, Khung_KeHoach_Chuan!$A$11:$J$91, 7, FALSE)</f>
        <v>2026-09-20</v>
      </c>
      <c r="G24" s="11" t="str">
        <f>VLOOKUP($L$4&amp;"_"&amp;$A24, Khung_KeHoach_Chuan!$A$11:$J$91, 8, FALSE)</f>
        <v>2026-09-30</v>
      </c>
      <c r="H24" s="10" t="str">
        <f>VLOOKUP($L$4&amp;"_"&amp;$A24, Khung_KeHoach_Chuan!$A$11:$J$91, 9, FALSE)</f>
        <v>Prototype/MVP hoạt động ổn định trên tập test</v>
      </c>
      <c r="I24" s="11" t="s">
        <v>529</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tr">
        <f>VLOOKUP($L$4&amp;"_"&amp;$A25, Khung_KeHoach_Chuan!$A$11:$J$91, 6, FALSE)</f>
        <v>Tổng hợp tiến độ, nộp phiếu theo dõi có chữ ký GVHD</v>
      </c>
      <c r="E25" s="35"/>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518</v>
      </c>
      <c r="J25" s="21"/>
    </row>
    <row r="26" spans="1:10" ht="28.5">
      <c r="A26" s="9">
        <v>11</v>
      </c>
      <c r="B26" s="10" t="str">
        <f>VLOOKUP($L$4&amp;"_"&amp;$A26, Khung_KeHoach_Chuan!$A$11:$J$91, 4, FALSE)</f>
        <v>III. TRIỂN KHAI / THỰC NGHIỆM</v>
      </c>
      <c r="C26" s="17" t="str">
        <f>VLOOKUP($L$4&amp;"_"&amp;$A26, Khung_KeHoach_Chuan!$A$11:$J$91, 5, FALSE)</f>
        <v>Hoàn thiện toàn bộ module hệ thống &amp; chính sách điều khiển</v>
      </c>
      <c r="D26" s="33" t="str">
        <f>VLOOKUP($L$4&amp;"_"&amp;$A26, Khung_KeHoach_Chuan!$A$11:$J$91, 6, FALSE)</f>
        <v>Mở rộng tính năng, module giám sát mạng, chính sách tự động hóa cấu hình nếu có</v>
      </c>
      <c r="E26" s="35"/>
      <c r="F26" s="11" t="str">
        <f>VLOOKUP($L$4&amp;"_"&amp;$A26, Khung_KeHoach_Chuan!$A$11:$J$91, 7, FALSE)</f>
        <v>2026-10-05</v>
      </c>
      <c r="G26" s="11" t="str">
        <f>VLOOKUP($L$4&amp;"_"&amp;$A26, Khung_KeHoach_Chuan!$A$11:$J$91, 8, FALSE)</f>
        <v>2026-10-25</v>
      </c>
      <c r="H26" s="10" t="str">
        <f>VLOOKUP($L$4&amp;"_"&amp;$A26, Khung_KeHoach_Chuan!$A$11:$J$91, 9, FALSE)</f>
        <v>Hệ thống hoàn chỉnh tất cả các module</v>
      </c>
      <c r="I26" s="11" t="s">
        <v>518</v>
      </c>
      <c r="J26" s="10"/>
    </row>
    <row r="27" spans="1:10" ht="28.5">
      <c r="A27" s="13">
        <v>12</v>
      </c>
      <c r="B27" s="14" t="str">
        <f>VLOOKUP($L$4&amp;"_"&amp;$A27, Khung_KeHoach_Chuan!$A$11:$J$91, 4, FALSE)</f>
        <v>III. TRIỂN KHAI / THỰC NGHIỆM</v>
      </c>
      <c r="C27" s="16" t="str">
        <f>VLOOKUP($L$4&amp;"_"&amp;$A27, Khung_KeHoach_Chuan!$A$11:$J$91, 5, FALSE)</f>
        <v>Tích hợp toàn diện hệ thống, kiểm thử liên kết &amp; tối ưu hóa</v>
      </c>
      <c r="D27" s="32" t="str">
        <f>VLOOKUP($L$4&amp;"_"&amp;$A27, Khung_KeHoach_Chuan!$A$11:$J$91, 6, FALSE)</f>
        <v>Kết nối các thành phần, tối ưu thời gian xử lý, cải thiện độ ổn định hệ thống</v>
      </c>
      <c r="E27" s="35"/>
      <c r="F27" s="15" t="str">
        <f>VLOOKUP($L$4&amp;"_"&amp;$A27, Khung_KeHoach_Chuan!$A$11:$J$91, 7, FALSE)</f>
        <v>2026-10-26</v>
      </c>
      <c r="G27" s="15" t="str">
        <f>VLOOKUP($L$4&amp;"_"&amp;$A27, Khung_KeHoach_Chuan!$A$11:$J$91, 8, FALSE)</f>
        <v>2026-11-08</v>
      </c>
      <c r="H27" s="14" t="str">
        <f>VLOOKUP($L$4&amp;"_"&amp;$A27, Khung_KeHoach_Chuan!$A$11:$J$91, 9, FALSE)</f>
        <v>Bản Release ứng cử viên (Release Candidate)</v>
      </c>
      <c r="I27" s="15" t="s">
        <v>518</v>
      </c>
      <c r="J27" s="14"/>
    </row>
    <row r="28" spans="1:10" ht="28.5">
      <c r="A28" s="9">
        <v>13</v>
      </c>
      <c r="B28" s="10" t="str">
        <f>VLOOKUP($L$4&amp;"_"&amp;$A28, Khung_KeHoach_Chuan!$A$11:$J$91, 4, FALSE)</f>
        <v>III. TRIỂN KHAI / THỰC NGHIỆM</v>
      </c>
      <c r="C28" s="17" t="str">
        <f>VLOOKUP($L$4&amp;"_"&amp;$A28, Khung_KeHoach_Chuan!$A$11:$J$91, 5, FALSE)</f>
        <v>Lưu trữ nhật ký thực nghiệm, Logs, Raw Data &amp; Evidence</v>
      </c>
      <c r="D28" s="33" t="str">
        <f>VLOOKUP($L$4&amp;"_"&amp;$A28, Khung_KeHoach_Chuan!$A$11:$J$91, 6, FALSE)</f>
        <v>Log cấu hình controller, thay đổi chính sách định tuyến để đối chiếu kết quả</v>
      </c>
      <c r="E28" s="35"/>
      <c r="F28" s="11" t="str">
        <f>VLOOKUP($L$4&amp;"_"&amp;$A28, Khung_KeHoach_Chuan!$A$11:$J$91, 7, FALSE)</f>
        <v>2026-09-20</v>
      </c>
      <c r="G28" s="11" t="str">
        <f>VLOOKUP($L$4&amp;"_"&amp;$A28, Khung_KeHoach_Chuan!$A$11:$J$91, 8, FALSE)</f>
        <v>2026-11-15</v>
      </c>
      <c r="H28" s="10" t="str">
        <f>VLOOKUP($L$4&amp;"_"&amp;$A28, Khung_KeHoach_Chuan!$A$11:$J$91, 9, FALSE)</f>
        <v>Repository thực nghiệm + Thư mục Raw Data/Logs</v>
      </c>
      <c r="I28" s="11" t="s">
        <v>518</v>
      </c>
      <c r="J28" s="10"/>
    </row>
    <row r="29" spans="1:10" ht="28.5">
      <c r="A29" s="13">
        <v>14</v>
      </c>
      <c r="B29" s="14" t="str">
        <f>VLOOKUP($L$4&amp;"_"&amp;$A29, Khung_KeHoach_Chuan!$A$11:$J$91, 4, FALSE)</f>
        <v>IV. KIỂM THỬ &amp; ĐÁNH GIÁ</v>
      </c>
      <c r="C29" s="16" t="str">
        <f>VLOOKUP($L$4&amp;"_"&amp;$A29, Khung_KeHoach_Chuan!$A$11:$J$91, 5, FALSE)</f>
        <v>Chạy thực nghiệm chính thức trên toàn bộ tập dữ liệu/topology</v>
      </c>
      <c r="D29" s="32" t="str">
        <f>VLOOKUP($L$4&amp;"_"&amp;$A29, Khung_KeHoach_Chuan!$A$11:$J$91, 6, FALSE)</f>
        <v>Đo đạc chính thức theo kịch bản đã thiết lập; lặp lại nhiều lần đảm bảo khách quan</v>
      </c>
      <c r="E29" s="35"/>
      <c r="F29" s="15" t="str">
        <f>VLOOKUP($L$4&amp;"_"&amp;$A29, Khung_KeHoach_Chuan!$A$11:$J$91, 7, FALSE)</f>
        <v>2026-11-09</v>
      </c>
      <c r="G29" s="15" t="str">
        <f>VLOOKUP($L$4&amp;"_"&amp;$A29, Khung_KeHoach_Chuan!$A$11:$J$91, 8, FALSE)</f>
        <v>2026-11-20</v>
      </c>
      <c r="H29" s="14" t="str">
        <f>VLOOKUP($L$4&amp;"_"&amp;$A29, Khung_KeHoach_Chuan!$A$11:$J$91, 9, FALSE)</f>
        <v>Bảng dữ liệu kết quả thực nghiệm thô (Raw Results)</v>
      </c>
      <c r="I29" s="15" t="s">
        <v>518</v>
      </c>
      <c r="J29" s="14"/>
    </row>
    <row r="30" spans="1:10" ht="28.5">
      <c r="A30" s="9">
        <v>15</v>
      </c>
      <c r="B30" s="10" t="str">
        <f>VLOOKUP($L$4&amp;"_"&amp;$A30, Khung_KeHoach_Chuan!$A$11:$J$91, 4, FALSE)</f>
        <v>IV. KIỂM THỬ &amp; ĐÁNH GIÁ</v>
      </c>
      <c r="C30" s="17" t="str">
        <f>VLOOKUP($L$4&amp;"_"&amp;$A30, Khung_KeHoach_Chuan!$A$11:$J$91, 5, FALSE)</f>
        <v>Xử lý, làm sạch &amp; chuẩn hóa dữ liệu kết quả thực nghiệm</v>
      </c>
      <c r="D30" s="33" t="str">
        <f>VLOOKUP($L$4&amp;"_"&amp;$A30, Khung_KeHoach_Chuan!$A$11:$J$91, 6, FALSE)</f>
        <v>Phân tích thống kê, loại trừ ngoại lai có giải trình, tính giá trị trung bình/độ lệch chuẩn</v>
      </c>
      <c r="E30" s="35"/>
      <c r="F30" s="11" t="str">
        <f>VLOOKUP($L$4&amp;"_"&amp;$A30, Khung_KeHoach_Chuan!$A$11:$J$91, 7, FALSE)</f>
        <v>2026-11-16</v>
      </c>
      <c r="G30" s="11" t="str">
        <f>VLOOKUP($L$4&amp;"_"&amp;$A30, Khung_KeHoach_Chuan!$A$11:$J$91, 8, FALSE)</f>
        <v>2026-11-25</v>
      </c>
      <c r="H30" s="10" t="str">
        <f>VLOOKUP($L$4&amp;"_"&amp;$A30, Khung_KeHoach_Chuan!$A$11:$J$91, 9, FALSE)</f>
        <v>Dataset kết quả đã được làm sạch và xử lý</v>
      </c>
      <c r="I30" s="11" t="s">
        <v>518</v>
      </c>
      <c r="J30" s="10"/>
    </row>
    <row r="31" spans="1:10" ht="28.5">
      <c r="A31" s="13">
        <v>16</v>
      </c>
      <c r="B31" s="14" t="str">
        <f>VLOOKUP($L$4&amp;"_"&amp;$A31, Khung_KeHoach_Chuan!$A$11:$J$91, 4, FALSE)</f>
        <v>IV. KIỂM THỬ &amp; ĐÁNH GIÁ</v>
      </c>
      <c r="C31" s="16" t="str">
        <f>VLOOKUP($L$4&amp;"_"&amp;$A31, Khung_KeHoach_Chuan!$A$11:$J$91, 5, FALSE)</f>
        <v>Phân tích kết quả, so sánh Baseline &amp; trực quan hóa</v>
      </c>
      <c r="D31" s="32" t="str">
        <f>VLOOKUP($L$4&amp;"_"&amp;$A31, Khung_KeHoach_Chuan!$A$11:$J$91, 6, FALSE)</f>
        <v>Vẽ biểu đồ so sánh mô hình đề xuất với baseline, phân tích trường hợp thành công/thất bại</v>
      </c>
      <c r="E31" s="35"/>
      <c r="F31" s="15" t="str">
        <f>VLOOKUP($L$4&amp;"_"&amp;$A31, Khung_KeHoach_Chuan!$A$11:$J$91, 7, FALSE)</f>
        <v>2026-11-21</v>
      </c>
      <c r="G31" s="15" t="str">
        <f>VLOOKUP($L$4&amp;"_"&amp;$A31, Khung_KeHoach_Chuan!$A$11:$J$91, 8, FALSE)</f>
        <v>2026-11-30</v>
      </c>
      <c r="H31" s="14" t="str">
        <f>VLOOKUP($L$4&amp;"_"&amp;$A31, Khung_KeHoach_Chuan!$A$11:$J$91, 9, FALSE)</f>
        <v>Bộ biểu đồ chuyên nghiệp + Bảng phân tích chuyên sâu</v>
      </c>
      <c r="I31" s="15" t="s">
        <v>518</v>
      </c>
      <c r="J31" s="14"/>
    </row>
    <row r="32" spans="1:10" ht="28.5">
      <c r="A32" s="9">
        <v>17</v>
      </c>
      <c r="B32" s="10" t="str">
        <f>VLOOKUP($L$4&amp;"_"&amp;$A32, Khung_KeHoach_Chuan!$A$11:$J$91, 4, FALSE)</f>
        <v>IV. KIỂM THỬ &amp; ĐÁNH GIÁ</v>
      </c>
      <c r="C32" s="17" t="str">
        <f>VLOOKUP($L$4&amp;"_"&amp;$A32, Khung_KeHoach_Chuan!$A$11:$J$91, 5, FALSE)</f>
        <v>Đối chiếu mục tiêu ban đầu, đóng góp &amp; chỉ ra hạn chế</v>
      </c>
      <c r="D32" s="33" t="str">
        <f>VLOOKUP($L$4&amp;"_"&amp;$A32, Khung_KeHoach_Chuan!$A$11:$J$91, 6, FALSE)</f>
        <v>Đánh giá mức độ hoàn thành so với cam kết ban đầu; nêu điểm mới và hạn chế</v>
      </c>
      <c r="E32" s="35"/>
      <c r="F32" s="11" t="str">
        <f>VLOOKUP($L$4&amp;"_"&amp;$A32, Khung_KeHoach_Chuan!$A$11:$J$91, 7, FALSE)</f>
        <v>2026-11-26</v>
      </c>
      <c r="G32" s="11" t="str">
        <f>VLOOKUP($L$4&amp;"_"&amp;$A32, Khung_KeHoach_Chuan!$A$11:$J$91, 8, FALSE)</f>
        <v>2026-12-05</v>
      </c>
      <c r="H32" s="10" t="str">
        <f>VLOOKUP($L$4&amp;"_"&amp;$A32, Khung_KeHoach_Chuan!$A$11:$J$91, 9, FALSE)</f>
        <v>Bảng tổng hợp đối chiếu Mục tiêu - Kết quả đạt được</v>
      </c>
      <c r="I32" s="11" t="s">
        <v>518</v>
      </c>
      <c r="J32" s="10"/>
    </row>
    <row r="33" spans="1:10" ht="28.5">
      <c r="A33" s="13">
        <v>18</v>
      </c>
      <c r="B33" s="14" t="str">
        <f>VLOOKUP($L$4&amp;"_"&amp;$A33, Khung_KeHoach_Chuan!$A$11:$J$91, 4, FALSE)</f>
        <v>V. VIẾT &amp; HOÀN THIỆN BÁO CÁO</v>
      </c>
      <c r="C33" s="16" t="str">
        <f>VLOOKUP($L$4&amp;"_"&amp;$A33, Khung_KeHoach_Chuan!$A$11:$J$91, 5, FALSE)</f>
        <v>Xây dựng khung báo cáo &amp; hoàn thành Chương 1, 2, 3</v>
      </c>
      <c r="D33" s="32" t="str">
        <f>VLOOKUP($L$4&amp;"_"&amp;$A33, Khung_KeHoach_Chuan!$A$11:$J$91, 6, FALSE)</f>
        <v>Mở đầu, Cơ sở lý thuyết SDN/SD-WAN, Thiết kế hệ thống theo chuẩn ĐATN TDTU</v>
      </c>
      <c r="E33" s="35"/>
      <c r="F33" s="15" t="str">
        <f>VLOOKUP($L$4&amp;"_"&amp;$A33, Khung_KeHoach_Chuan!$A$11:$J$91, 7, FALSE)</f>
        <v>2026-11-01</v>
      </c>
      <c r="G33" s="15" t="str">
        <f>VLOOKUP($L$4&amp;"_"&amp;$A33, Khung_KeHoach_Chuan!$A$11:$J$91, 8, FALSE)</f>
        <v>2026-11-20</v>
      </c>
      <c r="H33" s="14" t="str">
        <f>VLOOKUP($L$4&amp;"_"&amp;$A33, Khung_KeHoach_Chuan!$A$11:$J$91, 9, FALSE)</f>
        <v>Bản thảo Chương 1, 2, 3 chuẩn quy cách ĐATN TDTU</v>
      </c>
      <c r="I33" s="15" t="s">
        <v>518</v>
      </c>
      <c r="J33" s="14"/>
    </row>
    <row r="34" spans="1:10" ht="28.5">
      <c r="A34" s="9">
        <v>19</v>
      </c>
      <c r="B34" s="10" t="str">
        <f>VLOOKUP($L$4&amp;"_"&amp;$A34, Khung_KeHoach_Chuan!$A$11:$J$91, 4, FALSE)</f>
        <v>V. VIẾT &amp; HOÀN THIỆN BÁO CÁO</v>
      </c>
      <c r="C34" s="17" t="str">
        <f>VLOOKUP($L$4&amp;"_"&amp;$A34, Khung_KeHoach_Chuan!$A$11:$J$91, 5, FALSE)</f>
        <v>Viết Chương Triển khai, Thực nghiệm &amp; Đánh giá (Chương 4, 5)</v>
      </c>
      <c r="D34" s="33" t="str">
        <f>VLOOKUP($L$4&amp;"_"&amp;$A34, Khung_KeHoach_Chuan!$A$11:$J$91, 6, FALSE)</f>
        <v>Môi trường thực nghiệm, kết quả triển khai/kiểm thử, thảo luận kết quả</v>
      </c>
      <c r="E34" s="35"/>
      <c r="F34" s="11" t="str">
        <f>VLOOKUP($L$4&amp;"_"&amp;$A34, Khung_KeHoach_Chuan!$A$11:$J$91, 7, FALSE)</f>
        <v>2026-11-21</v>
      </c>
      <c r="G34" s="11" t="str">
        <f>VLOOKUP($L$4&amp;"_"&amp;$A34, Khung_KeHoach_Chuan!$A$11:$J$91, 8, FALSE)</f>
        <v>2026-12-05</v>
      </c>
      <c r="H34" s="10" t="str">
        <f>VLOOKUP($L$4&amp;"_"&amp;$A34, Khung_KeHoach_Chuan!$A$11:$J$91, 9, FALSE)</f>
        <v>Bản thảo Chương 4, 5 chi tiết</v>
      </c>
      <c r="I34" s="11" t="s">
        <v>518</v>
      </c>
      <c r="J34" s="10"/>
    </row>
    <row r="35" spans="1:10" ht="28.5">
      <c r="A35" s="13">
        <v>20</v>
      </c>
      <c r="B35" s="14" t="str">
        <f>VLOOKUP($L$4&amp;"_"&amp;$A35, Khung_KeHoach_Chuan!$A$11:$J$91, 4, FALSE)</f>
        <v>V. VIẾT &amp; HOÀN THIỆN BÁO CÁO</v>
      </c>
      <c r="C35" s="16" t="str">
        <f>VLOOKUP($L$4&amp;"_"&amp;$A35, Khung_KeHoach_Chuan!$A$11:$J$91, 5, FALSE)</f>
        <v>Viết Kết luận, Tóm tắt, Tài liệu tham khảo &amp; Phụ lục</v>
      </c>
      <c r="D35" s="32" t="str">
        <f>VLOOKUP($L$4&amp;"_"&amp;$A35, Khung_KeHoach_Chuan!$A$11:$J$91, 6, FALSE)</f>
        <v>Kết luận &amp; Hướng phát triển, chuẩn hóa tài liệu tham khảo theo IEEE</v>
      </c>
      <c r="E35" s="35"/>
      <c r="F35" s="15" t="str">
        <f>VLOOKUP($L$4&amp;"_"&amp;$A35, Khung_KeHoach_Chuan!$A$11:$J$91, 7, FALSE)</f>
        <v>2026-12-01</v>
      </c>
      <c r="G35" s="15" t="str">
        <f>VLOOKUP($L$4&amp;"_"&amp;$A35, Khung_KeHoach_Chuan!$A$11:$J$91, 8, FALSE)</f>
        <v>2026-12-08</v>
      </c>
      <c r="H35" s="14" t="str">
        <f>VLOOKUP($L$4&amp;"_"&amp;$A35, Khung_KeHoach_Chuan!$A$11:$J$91, 9, FALSE)</f>
        <v>Bản thảo toàn văn 100% (Full Draft v1)</v>
      </c>
      <c r="I35" s="15" t="s">
        <v>518</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hiệu chỉnh</v>
      </c>
      <c r="D36" s="33" t="str">
        <f>VLOOKUP($L$4&amp;"_"&amp;$A36, Khung_KeHoach_Chuan!$A$11:$J$91, 6, FALSE)</f>
        <v>Gửi bản thảo cho GVHD phản biện; tiếp thu chỉnh sửa cấu trúc, thuật ngữ kỹ thuật</v>
      </c>
      <c r="E36" s="35"/>
      <c r="F36" s="11" t="str">
        <f>VLOOKUP($L$4&amp;"_"&amp;$A36, Khung_KeHoach_Chuan!$A$11:$J$91, 7, FALSE)</f>
        <v>2026-12-06</v>
      </c>
      <c r="G36" s="11" t="str">
        <f>VLOOKUP($L$4&amp;"_"&amp;$A36, Khung_KeHoach_Chuan!$A$11:$J$91, 8, FALSE)</f>
        <v>2026-12-10</v>
      </c>
      <c r="H36" s="10" t="str">
        <f>VLOOKUP($L$4&amp;"_"&amp;$A36, Khung_KeHoach_Chuan!$A$11:$J$91, 9, FALSE)</f>
        <v>Bản thảo đã được GVHD góp ý và chỉnh sửa</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ĐATN (FINAL REPORT)</v>
      </c>
      <c r="D37" s="34" t="str">
        <f>VLOOKUP($L$4&amp;"_"&amp;$A37, Khung_KeHoach_Chuan!$A$11:$J$91, 6, FALSE)</f>
        <v>Hoàn tất 100% nội dung, chính tả, định dạng chuẩn TDTU, xuất PDF báo cáo sạch</v>
      </c>
      <c r="E37" s="35"/>
      <c r="F37" s="20" t="str">
        <f>VLOOKUP($L$4&amp;"_"&amp;$A37, Khung_KeHoach_Chuan!$A$11:$J$91, 7, FALSE)</f>
        <v>2026-12-10</v>
      </c>
      <c r="G37" s="20" t="str">
        <f>VLOOKUP($L$4&amp;"_"&amp;$A37, Khung_KeHoach_Chuan!$A$11:$J$91, 8, FALSE)</f>
        <v>2026-12-10</v>
      </c>
      <c r="H37" s="21" t="str">
        <f>VLOOKUP($L$4&amp;"_"&amp;$A37, Khung_KeHoach_Chuan!$A$11:$J$91, 9, FALSE)</f>
        <v>BÁO CÁO SẠCH HOÀN TẤT (Trước deadline 1 tuần)</v>
      </c>
      <c r="I37" s="20" t="s">
        <v>518</v>
      </c>
      <c r="J37" s="21"/>
    </row>
    <row r="38" spans="1:10" ht="28.5">
      <c r="A38" s="19">
        <v>23</v>
      </c>
      <c r="B38" s="21" t="str">
        <f>VLOOKUP($L$4&amp;"_"&amp;$A38, Khung_KeHoach_Chuan!$A$11:$J$91, 4, FALSE)</f>
        <v>VI. ĐÓNG GÓI, PHẢN BIỆN, BẢO VỆ &amp; NỘP ELIT</v>
      </c>
      <c r="C38" s="31" t="str">
        <f>VLOOKUP($L$4&amp;"_"&amp;$A38, Khung_KeHoach_Chuan!$A$11:$J$91, 5, FALSE)</f>
        <v>NỘP BÁO CÁO CUỐI KỲ (TURNITIN + ELIT)</v>
      </c>
      <c r="D38" s="34" t="str">
        <f>VLOOKUP($L$4&amp;"_"&amp;$A38, Khung_KeHoach_Chuan!$A$11:$J$91, 6, FALSE)</f>
        <v>Nộp file lên Turnitin (kiểm tra đạo văn) và hệ thống ELIT theo thông báo Khoa</v>
      </c>
      <c r="E38" s="35"/>
      <c r="F38" s="20" t="str">
        <f>VLOOKUP($L$4&amp;"_"&amp;$A38, Khung_KeHoach_Chuan!$A$11:$J$91, 7, FALSE)</f>
        <v>2026-12-17</v>
      </c>
      <c r="G38" s="20" t="str">
        <f>VLOOKUP($L$4&amp;"_"&amp;$A38, Khung_KeHoach_Chuan!$A$11:$J$91, 8, FALSE)</f>
        <v>2026-12-27</v>
      </c>
      <c r="H38" s="21" t="str">
        <f>VLOOKUP($L$4&amp;"_"&amp;$A38, Khung_KeHoach_Chuan!$A$11:$J$91, 9, FALSE)</f>
        <v>Xác nhận nộp báo cáo cuối kỳ thành công trên ELIT</v>
      </c>
      <c r="I38" s="20" t="s">
        <v>518</v>
      </c>
      <c r="J38" s="21"/>
    </row>
    <row r="39" spans="1:10" ht="28.5">
      <c r="A39" s="13">
        <v>24</v>
      </c>
      <c r="B39" s="14" t="str">
        <f>VLOOKUP($L$4&amp;"_"&amp;$A39, Khung_KeHoach_Chuan!$A$11:$J$91, 4, FALSE)</f>
        <v>VI. ĐÓNG GÓI, PHẢN BIỆN, BẢO VỆ &amp; NỘP ELIT</v>
      </c>
      <c r="C39" s="16" t="str">
        <f>VLOOKUP($L$4&amp;"_"&amp;$A39, Khung_KeHoach_Chuan!$A$11:$J$91, 5, FALSE)</f>
        <v>GVHD duyệt xác nhận cho SV ra Hội đồng phản biện</v>
      </c>
      <c r="D39" s="32" t="str">
        <f>VLOOKUP($L$4&amp;"_"&amp;$A39, Khung_KeHoach_Chuan!$A$11:$J$91, 6, FALSE)</f>
        <v>ThS. Lê Viết Thanh xác nhận đủ điều kiện ra Hội đồng trên hệ thống</v>
      </c>
      <c r="E39" s="35"/>
      <c r="F39" s="15" t="str">
        <f>VLOOKUP($L$4&amp;"_"&amp;$A39, Khung_KeHoach_Chuan!$A$11:$J$91, 7, FALSE)</f>
        <v>2026-12-22</v>
      </c>
      <c r="G39" s="15" t="str">
        <f>VLOOKUP($L$4&amp;"_"&amp;$A39, Khung_KeHoach_Chuan!$A$11:$J$91, 8, FALSE)</f>
        <v>2026-12-26</v>
      </c>
      <c r="H39" s="14" t="str">
        <f>VLOOKUP($L$4&amp;"_"&amp;$A39, Khung_KeHoach_Chuan!$A$11:$J$91, 9, FALSE)</f>
        <v>Xác nhận của GVHD đủ điều kiện phản biện</v>
      </c>
      <c r="I39" s="15" t="s">
        <v>518</v>
      </c>
      <c r="J39" s="14"/>
    </row>
    <row r="40" spans="1:10" ht="28.5">
      <c r="A40" s="9">
        <v>25</v>
      </c>
      <c r="B40" s="10" t="str">
        <f>VLOOKUP($L$4&amp;"_"&amp;$A40, Khung_KeHoach_Chuan!$A$11:$J$91, 4, FALSE)</f>
        <v>VI. ĐÓNG GÓI, PHẢN BIỆN, BẢO VỆ &amp; NỘP ELIT</v>
      </c>
      <c r="C40" s="17" t="str">
        <f>VLOOKUP($L$4&amp;"_"&amp;$A40, Khung_KeHoach_Chuan!$A$11:$J$91, 5, FALSE)</f>
        <v>Gặp &amp; Báo cáo với Giảng viên phản biện (GVPB)</v>
      </c>
      <c r="D40" s="33" t="str">
        <f>VLOOKUP($L$4&amp;"_"&amp;$A40, Khung_KeHoach_Chuan!$A$11:$J$91, 6, FALSE)</f>
        <v>Trình bày kết quả triển khai giải pháp SDN/SD-WAN với GVPB; nhận phiếu đánh giá</v>
      </c>
      <c r="E40" s="35"/>
      <c r="F40" s="11" t="str">
        <f>VLOOKUP($L$4&amp;"_"&amp;$A40, Khung_KeHoach_Chuan!$A$11:$J$91, 7, FALSE)</f>
        <v>2027-01-01</v>
      </c>
      <c r="G40" s="11" t="str">
        <f>VLOOKUP($L$4&amp;"_"&amp;$A40, Khung_KeHoach_Chuan!$A$11:$J$91, 8, FALSE)</f>
        <v>2027-01-08</v>
      </c>
      <c r="H40" s="10" t="str">
        <f>VLOOKUP($L$4&amp;"_"&amp;$A40, Khung_KeHoach_Chuan!$A$11:$J$91, 9, FALSE)</f>
        <v>Phiếu chấm điểm phản biện của GVPB</v>
      </c>
      <c r="I40" s="11" t="s">
        <v>518</v>
      </c>
      <c r="J40" s="10"/>
    </row>
    <row r="41" spans="1:10" ht="28.5">
      <c r="A41" s="13">
        <v>26</v>
      </c>
      <c r="B41" s="14" t="str">
        <f>VLOOKUP($L$4&amp;"_"&amp;$A41, Khung_KeHoach_Chuan!$A$11:$J$91, 4, FALSE)</f>
        <v>VI. ĐÓNG GÓI, PHẢN BIỆN, BẢO VỆ &amp; NỘP ELIT</v>
      </c>
      <c r="C41" s="16" t="str">
        <f>VLOOKUP($L$4&amp;"_"&amp;$A41, Khung_KeHoach_Chuan!$A$11:$J$91, 5, FALSE)</f>
        <v>TỔ CHỨC HỘI ĐỒNG BẢO VỆ ĐATN</v>
      </c>
      <c r="D41" s="32" t="str">
        <f>VLOOKUP($L$4&amp;"_"&amp;$A41, Khung_KeHoach_Chuan!$A$11:$J$91, 6, FALSE)</f>
        <v>Thuyết trình trước Hội đồng đánh giá ĐATN của Khoa CNTT - ĐH Tôn Đức Thắng</v>
      </c>
      <c r="E41" s="35"/>
      <c r="F41" s="15" t="str">
        <f>VLOOKUP($L$4&amp;"_"&amp;$A41, Khung_KeHoach_Chuan!$A$11:$J$91, 7, FALSE)</f>
        <v>2027-01-13</v>
      </c>
      <c r="G41" s="15" t="str">
        <f>VLOOKUP($L$4&amp;"_"&amp;$A41, Khung_KeHoach_Chuan!$A$11:$J$91, 8, FALSE)</f>
        <v>2027-01-18</v>
      </c>
      <c r="H41" s="14" t="str">
        <f>VLOOKUP($L$4&amp;"_"&amp;$A41, Khung_KeHoach_Chuan!$A$11:$J$91, 9, FALSE)</f>
        <v>Biên bản chấm điểm của Hội đồng bảo vệ ĐATN</v>
      </c>
      <c r="I41" s="15" t="s">
        <v>518</v>
      </c>
      <c r="J41" s="14"/>
    </row>
    <row r="42" spans="1:10" ht="28.5">
      <c r="A42" s="19">
        <v>27</v>
      </c>
      <c r="B42" s="21" t="str">
        <f>VLOOKUP($L$4&amp;"_"&amp;$A42, Khung_KeHoach_Chuan!$A$11:$J$91, 4, FALSE)</f>
        <v>VI. ĐÓNG GÓI, PHẢN BIỆN, BẢO VỆ &amp; NỘP ELIT</v>
      </c>
      <c r="C42" s="31" t="str">
        <f>VLOOKUP($L$4&amp;"_"&amp;$A42, Khung_KeHoach_Chuan!$A$11:$J$91, 5, FALSE)</f>
        <v>Chỉnh sửa theo góp ý Hội đồng &amp; Nộp file ELIT</v>
      </c>
      <c r="D42" s="34" t="str">
        <f>VLOOKUP($L$4&amp;"_"&amp;$A42, Khung_KeHoach_Chuan!$A$11:$J$91, 6, FALSE)</f>
        <v>Hiệu chỉnh báo cáo theo nhận xét của HĐ, nộp file hoàn thiện lên ELIT</v>
      </c>
      <c r="E42" s="35"/>
      <c r="F42" s="20" t="str">
        <f>VLOOKUP($L$4&amp;"_"&amp;$A42, Khung_KeHoach_Chuan!$A$11:$J$91, 7, FALSE)</f>
        <v>2027-01-18</v>
      </c>
      <c r="G42" s="20" t="str">
        <f>VLOOKUP($L$4&amp;"_"&amp;$A42, Khung_KeHoach_Chuan!$A$11:$J$91, 8, FALSE)</f>
        <v>2027-02-16</v>
      </c>
      <c r="H42" s="21" t="str">
        <f>VLOOKUP($L$4&amp;"_"&amp;$A42, Khung_KeHoach_Chuan!$A$11:$J$91, 9, FALSE)</f>
        <v>Điểm số ĐATN chính thức được công nhận</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700-000000000000}">
      <formula1>"Dự án CNTT,Đồ án tốt nghiệp,Khóa luận tốt nghiệp,Dự án + Đồ án,Dự án + Khóa luận"</formula1>
    </dataValidation>
    <dataValidation type="list" allowBlank="1" sqref="I16:I42" xr:uid="{00000000-0002-0000-0700-000001000000}">
      <formula1>"Chưa bắt đầu,Đang thực hiện,Hoàn thành,Tạm hoãn - Bị chặn"</formula1>
    </dataValidation>
    <dataValidation type="list" allowBlank="1" showInputMessage="1" showErrorMessage="1" sqref="C10" xr:uid="{793B50EC-ABA9-4153-ADA8-AAFF937B606C}">
      <formula1>"Dự án CNTT,Đồ án tốt nghiệp,Khóa luận tốt nghiệp"</formula1>
    </dataValidation>
    <dataValidation type="list" allowBlank="1" showInputMessage="1" showErrorMessage="1" sqref="I45:I71" xr:uid="{9CFD35D0-DD7F-46DA-B669-8BD43AAE6453}">
      <formula1>"Chưa bắt đầu,Đang thực hiện,Hoàn thành,Tạm hoãn - Bị chặn"</formula1>
    </dataValidation>
  </dataValidations>
  <hyperlinks>
    <hyperlink ref="C7" r:id="rId1" xr:uid="{D10F5D89-C382-4554-97A3-E491A1C4327C}"/>
  </hyperlinks>
  <pageMargins left="0.75" right="0.75" top="1" bottom="1" header="0" footer="0"/>
  <pageSetup orientation="landscape"/>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0"/>
  <sheetViews>
    <sheetView workbookViewId="0">
      <selection sqref="A1:I1"/>
    </sheetView>
  </sheetViews>
  <sheetFormatPr defaultColWidth="14.42578125" defaultRowHeight="15" customHeight="1"/>
  <cols>
    <col min="1" max="1" width="22"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644</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53</v>
      </c>
      <c r="D4" s="1"/>
      <c r="E4" s="1"/>
      <c r="F4" s="22" t="s">
        <v>488</v>
      </c>
      <c r="G4" s="24" t="s">
        <v>489</v>
      </c>
      <c r="H4" s="1"/>
      <c r="I4" s="1"/>
      <c r="J4" s="38"/>
      <c r="L4" s="37" t="str">
        <f>IF(OR($C$4="Dự án + Đồ án",$C$4="Dự án + Khóa luận"),"Dự án CNTT",$C$4)</f>
        <v>Đồ án tốt nghiệp</v>
      </c>
    </row>
    <row r="5" spans="1:12" ht="42.75">
      <c r="A5" s="17" t="s">
        <v>490</v>
      </c>
      <c r="B5" s="1"/>
      <c r="C5" s="86" t="s">
        <v>645</v>
      </c>
      <c r="D5" s="87"/>
      <c r="E5" s="87"/>
      <c r="F5" s="87"/>
      <c r="G5" s="87"/>
      <c r="H5" s="87"/>
      <c r="I5" s="88"/>
      <c r="J5" s="38"/>
    </row>
    <row r="6" spans="1:12" ht="71.25">
      <c r="A6" s="22" t="s">
        <v>492</v>
      </c>
      <c r="B6" s="1"/>
      <c r="C6" s="10" t="s">
        <v>646</v>
      </c>
      <c r="D6" s="1"/>
      <c r="E6" s="1"/>
      <c r="F6" s="22" t="s">
        <v>494</v>
      </c>
      <c r="G6" s="10" t="s">
        <v>641</v>
      </c>
      <c r="H6" s="1"/>
      <c r="I6" s="1"/>
      <c r="J6" s="38"/>
    </row>
    <row r="7" spans="1:12" ht="42.75">
      <c r="A7" s="22" t="s">
        <v>496</v>
      </c>
      <c r="B7" s="1"/>
      <c r="C7" s="25" t="s">
        <v>647</v>
      </c>
      <c r="D7" s="1"/>
      <c r="E7" s="1"/>
      <c r="F7" s="22" t="s">
        <v>498</v>
      </c>
      <c r="G7" s="25" t="s">
        <v>643</v>
      </c>
      <c r="H7" s="1"/>
      <c r="I7" s="1"/>
      <c r="J7" s="38"/>
    </row>
    <row r="8" spans="1:12" ht="42.75">
      <c r="A8" s="22" t="s">
        <v>500</v>
      </c>
      <c r="B8" s="1"/>
      <c r="C8" s="17" t="str">
        <f>VLOOKUP($L$4, Khung_KeHoach_Chuan!$A$5:$H$7, 2, FALSE)</f>
        <v>2026-08-24</v>
      </c>
      <c r="D8" s="1"/>
      <c r="E8" s="1"/>
      <c r="F8" s="22" t="s">
        <v>501</v>
      </c>
      <c r="G8" s="26" t="str">
        <f>VLOOKUP($L$4, Khung_KeHoach_Chuan!$A$5:$H$7, 4, FALSE)</f>
        <v>2026-12-10</v>
      </c>
      <c r="H8" s="1"/>
      <c r="I8" s="1"/>
      <c r="J8" s="38"/>
    </row>
    <row r="9" spans="1:12" ht="57">
      <c r="A9" s="22" t="s">
        <v>502</v>
      </c>
      <c r="B9" s="1"/>
      <c r="C9" s="26" t="str">
        <f>VLOOKUP($L$4, Khung_KeHoach_Chuan!$A$5:$H$7, 5, FALSE)</f>
        <v>2026-12-27</v>
      </c>
      <c r="D9" s="1"/>
      <c r="E9" s="1"/>
      <c r="F9" s="22" t="s">
        <v>503</v>
      </c>
      <c r="G9" s="27" t="str">
        <f>VLOOKUP($L$4, Khung_KeHoach_Chuan!$A$5:$H$7, 7, FALSE)</f>
        <v>13/01/2027 – 18/01/2027</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0</v>
      </c>
      <c r="C13" s="3">
        <f>COUNTIF(I16:I42, "Đang thực hiện") + IF($C$10&lt;&gt;"", COUNTIF(I45:I71, "Đang thực hiện"), 0)</f>
        <v>0</v>
      </c>
      <c r="D13" s="4">
        <f>COUNTIF(I16:I42, "Chưa bắt đầu") + IF($C$10&lt;&gt;"", COUNTIF(I45:I71, "Chưa bắt đầu"), 0)</f>
        <v>27</v>
      </c>
      <c r="E13" s="4"/>
      <c r="F13" s="29">
        <f>COUNTIF(I16:I42, "Tạm hoãn - Bị chặn") + IF($C$10&lt;&gt;"", COUNTIF(I45:I71, "Tạm hoãn - Bị chặn"), 0)</f>
        <v>0</v>
      </c>
      <c r="G13" s="28" t="str">
        <f>G8</f>
        <v>2026-12-10</v>
      </c>
      <c r="H13" s="30">
        <f>B13/A13</f>
        <v>0</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28.5">
      <c r="A16" s="9">
        <v>1</v>
      </c>
      <c r="B16" s="10" t="str">
        <f>VLOOKUP($L$4&amp;"_"&amp;$A16, Khung_KeHoach_Chuan!$A$11:$J$91, 4, FALSE)</f>
        <v>I. ĐỊNH HƯỚNG &amp; PHƯƠNG PHÁP LUẬN</v>
      </c>
      <c r="C16" s="17" t="str">
        <f>VLOOKUP($L$4&amp;"_"&amp;$A16, Khung_KeHoach_Chuan!$A$11:$J$91, 5, FALSE)</f>
        <v>Xác định đề tài nghiên cứu ứng dụng ML trong SDN/SD-WAN &amp; phạm vi ĐATN</v>
      </c>
      <c r="D16" s="33" t="str">
        <f>VLOOKUP($L$4&amp;"_"&amp;$A16, Khung_KeHoach_Chuan!$A$11:$J$91, 6, FALSE)</f>
        <v>Bài toán mạng cụ thể (định tuyến thông minh/phát hiện tấn công/tối ưu QoS bằng ML), mục tiêu &amp; phạm vi</v>
      </c>
      <c r="E16" s="35"/>
      <c r="F16" s="11" t="str">
        <f>VLOOKUP($L$4&amp;"_"&amp;$A16, Khung_KeHoach_Chuan!$A$11:$J$91, 7, FALSE)</f>
        <v>2026-08-24</v>
      </c>
      <c r="G16" s="11" t="str">
        <f>VLOOKUP($L$4&amp;"_"&amp;$A16, Khung_KeHoach_Chuan!$A$11:$J$91, 8, FALSE)</f>
        <v>2026-08-31</v>
      </c>
      <c r="H16" s="10" t="str">
        <f>VLOOKUP($L$4&amp;"_"&amp;$A16, Khung_KeHoach_Chuan!$A$11:$J$91, 9, FALSE)</f>
        <v>Đề cương chi tiết ĐATN + Tuyên bố bài toán &amp; phạm vi ứng dụng ML/SDN</v>
      </c>
      <c r="I16" s="11" t="s">
        <v>518</v>
      </c>
      <c r="J16" s="10"/>
    </row>
    <row r="17" spans="1:10" ht="28.5">
      <c r="A17" s="13">
        <v>2</v>
      </c>
      <c r="B17" s="14" t="str">
        <f>VLOOKUP($L$4&amp;"_"&amp;$A17, Khung_KeHoach_Chuan!$A$11:$J$91, 4, FALSE)</f>
        <v>I. ĐỊNH HƯỚNG &amp; PHƯƠNG PHÁP LUẬN</v>
      </c>
      <c r="C17" s="16" t="str">
        <f>VLOOKUP($L$4&amp;"_"&amp;$A17, Khung_KeHoach_Chuan!$A$11:$J$91, 5, FALSE)</f>
        <v>Khảo sát tài liệu học thuật về SDN/SD-WAN &amp; các mô hình ML liên quan</v>
      </c>
      <c r="D17" s="32" t="str">
        <f>VLOOKUP($L$4&amp;"_"&amp;$A17, Khung_KeHoach_Chuan!$A$11:$J$91, 6, FALSE)</f>
        <v>Tổng hợp bài báo, giải pháp hiện có; phân tích ưu nhược điểm các phương pháp ML trong quản lý mạng</v>
      </c>
      <c r="E17" s="35"/>
      <c r="F17" s="15" t="str">
        <f>VLOOKUP($L$4&amp;"_"&amp;$A17, Khung_KeHoach_Chuan!$A$11:$J$91, 7, FALSE)</f>
        <v>2026-08-24</v>
      </c>
      <c r="G17" s="15" t="str">
        <f>VLOOKUP($L$4&amp;"_"&amp;$A17, Khung_KeHoach_Chuan!$A$11:$J$91, 8, FALSE)</f>
        <v>2026-09-05</v>
      </c>
      <c r="H17" s="14" t="str">
        <f>VLOOKUP($L$4&amp;"_"&amp;$A17, Khung_KeHoach_Chuan!$A$11:$J$91, 9, FALSE)</f>
        <v>Báo cáo tổng quan nghiên cứu (Literature Review v1)</v>
      </c>
      <c r="I17" s="15" t="s">
        <v>518</v>
      </c>
      <c r="J17" s="14"/>
    </row>
    <row r="18" spans="1:10" ht="28.5">
      <c r="A18" s="9">
        <v>3</v>
      </c>
      <c r="B18" s="10" t="str">
        <f>VLOOKUP($L$4&amp;"_"&amp;$A18, Khung_KeHoach_Chuan!$A$11:$J$91, 4, FALSE)</f>
        <v>I. ĐỊNH HƯỚNG &amp; PHƯƠNG PHÁP LUẬN</v>
      </c>
      <c r="C18" s="17" t="str">
        <f>VLOOKUP($L$4&amp;"_"&amp;$A18, Khung_KeHoach_Chuan!$A$11:$J$91, 5, FALSE)</f>
        <v>Đề xuất kiến trúc giải pháp SDN/SD-WAN tích hợp ML</v>
      </c>
      <c r="D18" s="33" t="str">
        <f>VLOOKUP($L$4&amp;"_"&amp;$A18, Khung_KeHoach_Chuan!$A$11:$J$91, 6, FALSE)</f>
        <v>Controller, mô hình ML đề xuất (thuật toán, kiến trúc mạng nơ-ron nếu có), luồng xử lý dữ liệu</v>
      </c>
      <c r="E18" s="35"/>
      <c r="F18" s="11" t="str">
        <f>VLOOKUP($L$4&amp;"_"&amp;$A18, Khung_KeHoach_Chuan!$A$11:$J$91, 7, FALSE)</f>
        <v>2026-09-01</v>
      </c>
      <c r="G18" s="11" t="str">
        <f>VLOOKUP($L$4&amp;"_"&amp;$A18, Khung_KeHoach_Chuan!$A$11:$J$91, 8, FALSE)</f>
        <v>2026-09-08</v>
      </c>
      <c r="H18" s="10" t="str">
        <f>VLOOKUP($L$4&amp;"_"&amp;$A18, Khung_KeHoach_Chuan!$A$11:$J$91, 9, FALSE)</f>
        <v>Sơ đồ kiến trúc giải pháp đề xuất + Lý giải lựa chọn</v>
      </c>
      <c r="I18" s="11" t="s">
        <v>518</v>
      </c>
      <c r="J18" s="10"/>
    </row>
    <row r="19" spans="1:10" ht="28.5">
      <c r="A19" s="13">
        <v>4</v>
      </c>
      <c r="B19" s="14" t="str">
        <f>VLOOKUP($L$4&amp;"_"&amp;$A19, Khung_KeHoach_Chuan!$A$11:$J$91, 4, FALSE)</f>
        <v>I. ĐỊNH HƯỚNG &amp; PHƯƠNG PHÁP LUẬN</v>
      </c>
      <c r="C19" s="16" t="str">
        <f>VLOOKUP($L$4&amp;"_"&amp;$A19, Khung_KeHoach_Chuan!$A$11:$J$91, 5, FALSE)</f>
        <v>Lập kế hoạch WBS 18 tuần, phân công &amp; quản trị rủi ro</v>
      </c>
      <c r="D19" s="32" t="str">
        <f>VLOOKUP($L$4&amp;"_"&amp;$A19, Khung_KeHoach_Chuan!$A$11:$J$91, 6, FALSE)</f>
        <v>Phân rã công việc thu thập dữ liệu mạng, huấn luyện mô hình, tích hợp hệ thống; Git repo, Drive</v>
      </c>
      <c r="E19" s="35"/>
      <c r="F19" s="15" t="str">
        <f>VLOOKUP($L$4&amp;"_"&amp;$A19, Khung_KeHoach_Chuan!$A$11:$J$91, 7, FALSE)</f>
        <v>2026-09-03</v>
      </c>
      <c r="G19" s="15" t="str">
        <f>VLOOKUP($L$4&amp;"_"&amp;$A19, Khung_KeHoach_Chuan!$A$11:$J$91, 8, FALSE)</f>
        <v>2026-09-10</v>
      </c>
      <c r="H19" s="14" t="str">
        <f>VLOOKUP($L$4&amp;"_"&amp;$A19, Khung_KeHoach_Chuan!$A$11:$J$91, 9, FALSE)</f>
        <v>WBS Roadmap 18 tuần + Git repo + Quy chế làm việc</v>
      </c>
      <c r="I19" s="15" t="s">
        <v>518</v>
      </c>
      <c r="J19" s="14"/>
    </row>
    <row r="20" spans="1:10" ht="28.5">
      <c r="A20" s="9">
        <v>5</v>
      </c>
      <c r="B20" s="10" t="str">
        <f>VLOOKUP($L$4&amp;"_"&amp;$A20, Khung_KeHoach_Chuan!$A$11:$J$91, 4, FALSE)</f>
        <v>II. THIẾT KẾ &amp; CHUẨN BỊ</v>
      </c>
      <c r="C20" s="17" t="str">
        <f>VLOOKUP($L$4&amp;"_"&amp;$A20, Khung_KeHoach_Chuan!$A$11:$J$91, 5, FALSE)</f>
        <v>Thiết kế kiến trúc hệ thống, thuật toán ML &amp; cơ sở dữ liệu mạng</v>
      </c>
      <c r="D20" s="33" t="str">
        <f>VLOOKUP($L$4&amp;"_"&amp;$A20, Khung_KeHoach_Chuan!$A$11:$J$91, 6, FALSE)</f>
        <v>Kiến trúc controller-ML engine, thuật toán xử lý, schema lưu trữ flow/traffic data</v>
      </c>
      <c r="E20" s="35"/>
      <c r="F20" s="11" t="str">
        <f>VLOOKUP($L$4&amp;"_"&amp;$A20, Khung_KeHoach_Chuan!$A$11:$J$91, 7, FALSE)</f>
        <v>2026-09-08</v>
      </c>
      <c r="G20" s="11" t="str">
        <f>VLOOKUP($L$4&amp;"_"&amp;$A20, Khung_KeHoach_Chuan!$A$11:$J$91, 8, FALSE)</f>
        <v>2026-09-19</v>
      </c>
      <c r="H20" s="10" t="str">
        <f>VLOOKUP($L$4&amp;"_"&amp;$A20, Khung_KeHoach_Chuan!$A$11:$J$91, 9, FALSE)</f>
        <v>Tài liệu đặc tả thiết kế chi tiết (System Architecture)</v>
      </c>
      <c r="I20" s="11" t="s">
        <v>518</v>
      </c>
      <c r="J20" s="10"/>
    </row>
    <row r="21" spans="1:10" ht="28.5">
      <c r="A21" s="13">
        <v>6</v>
      </c>
      <c r="B21" s="14" t="str">
        <f>VLOOKUP($L$4&amp;"_"&amp;$A21, Khung_KeHoach_Chuan!$A$11:$J$91, 4, FALSE)</f>
        <v>II. THIẾT KẾ &amp; CHUẨN BỊ</v>
      </c>
      <c r="C21" s="16" t="str">
        <f>VLOOKUP($L$4&amp;"_"&amp;$A21, Khung_KeHoach_Chuan!$A$11:$J$91, 5, FALSE)</f>
        <v>Chuẩn bị hạ tầng thử nghiệm SDN/SD-WAN, dataset &amp; công cụ</v>
      </c>
      <c r="D21" s="32" t="str">
        <f>VLOOKUP($L$4&amp;"_"&amp;$A21, Khung_KeHoach_Chuan!$A$11:$J$91, 6, FALSE)</f>
        <v>Testbed (Mininet/Containerlab/GNS3), thu thập/tìm dataset traffic chuẩn, cài đặt công cụ ML</v>
      </c>
      <c r="E21" s="35"/>
      <c r="F21" s="15" t="str">
        <f>VLOOKUP($L$4&amp;"_"&amp;$A21, Khung_KeHoach_Chuan!$A$11:$J$91, 7, FALSE)</f>
        <v>2026-09-11</v>
      </c>
      <c r="G21" s="15" t="str">
        <f>VLOOKUP($L$4&amp;"_"&amp;$A21, Khung_KeHoach_Chuan!$A$11:$J$91, 8, FALSE)</f>
        <v>2026-09-19</v>
      </c>
      <c r="H21" s="14" t="str">
        <f>VLOOKUP($L$4&amp;"_"&amp;$A21, Khung_KeHoach_Chuan!$A$11:$J$91, 9, FALSE)</f>
        <v>Môi trường thực nghiệm chuẩn hóa + Bộ công cụ thử nghiệm</v>
      </c>
      <c r="I21" s="15" t="s">
        <v>518</v>
      </c>
      <c r="J21" s="14"/>
    </row>
    <row r="22" spans="1:10" ht="28.5">
      <c r="A22" s="9">
        <v>7</v>
      </c>
      <c r="B22" s="10" t="str">
        <f>VLOOKUP($L$4&amp;"_"&amp;$A22, Khung_KeHoach_Chuan!$A$11:$J$91, 4, FALSE)</f>
        <v>II. THIẾT KẾ &amp; CHUẨN BỊ</v>
      </c>
      <c r="C22" s="17" t="str">
        <f>VLOOKUP($L$4&amp;"_"&amp;$A22, Khung_KeHoach_Chuan!$A$11:$J$91, 5, FALSE)</f>
        <v>Xây dựng kịch bản thực nghiệm &amp; Baseline đánh giá</v>
      </c>
      <c r="D22" s="33" t="str">
        <f>VLOOKUP($L$4&amp;"_"&amp;$A22, Khung_KeHoach_Chuan!$A$11:$J$91, 6, FALSE)</f>
        <v>Kịch bản mô phỏng lưu lượng/tấn công, đối tượng baseline so sánh, độ đo đánh giá</v>
      </c>
      <c r="E22" s="35"/>
      <c r="F22" s="11" t="str">
        <f>VLOOKUP($L$4&amp;"_"&amp;$A22, Khung_KeHoach_Chuan!$A$11:$J$91, 7, FALSE)</f>
        <v>2026-09-15</v>
      </c>
      <c r="G22" s="11" t="str">
        <f>VLOOKUP($L$4&amp;"_"&amp;$A22, Khung_KeHoach_Chuan!$A$11:$J$91, 8, FALSE)</f>
        <v>2026-09-22</v>
      </c>
      <c r="H22" s="10" t="str">
        <f>VLOOKUP($L$4&amp;"_"&amp;$A22, Khung_KeHoach_Chuan!$A$11:$J$91, 9, FALSE)</f>
        <v>Kịch bản thực nghiệm chi tiết + Danh mục Benchmark</v>
      </c>
      <c r="I22" s="11" t="s">
        <v>518</v>
      </c>
      <c r="J22" s="10"/>
    </row>
    <row r="23" spans="1:10" ht="28.5">
      <c r="A23" s="13">
        <v>8</v>
      </c>
      <c r="B23" s="14" t="str">
        <f>VLOOKUP($L$4&amp;"_"&amp;$A23, Khung_KeHoach_Chuan!$A$11:$J$91, 4, FALSE)</f>
        <v>II. THIẾT KẾ &amp; CHUẨN BỊ</v>
      </c>
      <c r="C23" s="16" t="str">
        <f>VLOOKUP($L$4&amp;"_"&amp;$A23, Khung_KeHoach_Chuan!$A$11:$J$91, 5, FALSE)</f>
        <v>Thực hiện PoC kiểm chứng tính khả thi của giải pháp đề xuất</v>
      </c>
      <c r="D23" s="32" t="str">
        <f>VLOOKUP($L$4&amp;"_"&amp;$A23, Khung_KeHoach_Chuan!$A$11:$J$91, 6, FALSE)</f>
        <v>Chạy thử giải pháp trên topology thu gọn để chứng minh khả năng triển khai thực tế</v>
      </c>
      <c r="E23" s="35"/>
      <c r="F23" s="15" t="str">
        <f>VLOOKUP($L$4&amp;"_"&amp;$A23, Khung_KeHoach_Chuan!$A$11:$J$91, 7, FALSE)</f>
        <v>2026-09-16</v>
      </c>
      <c r="G23" s="15" t="str">
        <f>VLOOKUP($L$4&amp;"_"&amp;$A23, Khung_KeHoach_Chuan!$A$11:$J$91, 8, FALSE)</f>
        <v>2026-09-24</v>
      </c>
      <c r="H23" s="14" t="str">
        <f>VLOOKUP($L$4&amp;"_"&amp;$A23, Khung_KeHoach_Chuan!$A$11:$J$91, 9, FALSE)</f>
        <v>Báo cáo thực nghiệm PoC + Đánh giá tính khả thi</v>
      </c>
      <c r="I23" s="15" t="s">
        <v>518</v>
      </c>
      <c r="J23" s="14"/>
    </row>
    <row r="24" spans="1:10" ht="28.5">
      <c r="A24" s="9">
        <v>9</v>
      </c>
      <c r="B24" s="10" t="str">
        <f>VLOOKUP($L$4&amp;"_"&amp;$A24, Khung_KeHoach_Chuan!$A$11:$J$91, 4, FALSE)</f>
        <v>III. TRIỂN KHAI / THỰC NGHIỆM</v>
      </c>
      <c r="C24" s="17" t="str">
        <f>VLOOKUP($L$4&amp;"_"&amp;$A24, Khung_KeHoach_Chuan!$A$11:$J$91, 5, FALSE)</f>
        <v>Xây dựng Prototype/MVP: hệ thống SDN/SD-WAN vận hành ổn định</v>
      </c>
      <c r="D24" s="33" t="str">
        <f>VLOOKUP($L$4&amp;"_"&amp;$A24, Khung_KeHoach_Chuan!$A$11:$J$91, 6, FALSE)</f>
        <v>Hoàn thiện module trung tâm (controller + orchestrator), luồng dữ liệu thông suốt đầu-cuối</v>
      </c>
      <c r="E24" s="35"/>
      <c r="F24" s="11" t="str">
        <f>VLOOKUP($L$4&amp;"_"&amp;$A24, Khung_KeHoach_Chuan!$A$11:$J$91, 7, FALSE)</f>
        <v>2026-09-20</v>
      </c>
      <c r="G24" s="11" t="str">
        <f>VLOOKUP($L$4&amp;"_"&amp;$A24, Khung_KeHoach_Chuan!$A$11:$J$91, 8, FALSE)</f>
        <v>2026-09-30</v>
      </c>
      <c r="H24" s="10" t="str">
        <f>VLOOKUP($L$4&amp;"_"&amp;$A24, Khung_KeHoach_Chuan!$A$11:$J$91, 9, FALSE)</f>
        <v>Prototype/MVP hoạt động ổn định trên tập test</v>
      </c>
      <c r="I24" s="11" t="s">
        <v>518</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tr">
        <f>VLOOKUP($L$4&amp;"_"&amp;$A25, Khung_KeHoach_Chuan!$A$11:$J$91, 6, FALSE)</f>
        <v>Tổng hợp tiến độ, nộp phiếu theo dõi có chữ ký GVHD</v>
      </c>
      <c r="E25" s="35"/>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518</v>
      </c>
      <c r="J25" s="21"/>
    </row>
    <row r="26" spans="1:10" ht="28.5">
      <c r="A26" s="9">
        <v>11</v>
      </c>
      <c r="B26" s="10" t="str">
        <f>VLOOKUP($L$4&amp;"_"&amp;$A26, Khung_KeHoach_Chuan!$A$11:$J$91, 4, FALSE)</f>
        <v>III. TRIỂN KHAI / THỰC NGHIỆM</v>
      </c>
      <c r="C26" s="17" t="str">
        <f>VLOOKUP($L$4&amp;"_"&amp;$A26, Khung_KeHoach_Chuan!$A$11:$J$91, 5, FALSE)</f>
        <v>Hoàn thiện toàn bộ module hệ thống &amp; chính sách điều khiển</v>
      </c>
      <c r="D26" s="33" t="str">
        <f>VLOOKUP($L$4&amp;"_"&amp;$A26, Khung_KeHoach_Chuan!$A$11:$J$91, 6, FALSE)</f>
        <v>Mở rộng tính năng, module giám sát mạng, chính sách tự động hóa cấu hình nếu có</v>
      </c>
      <c r="E26" s="35"/>
      <c r="F26" s="11" t="str">
        <f>VLOOKUP($L$4&amp;"_"&amp;$A26, Khung_KeHoach_Chuan!$A$11:$J$91, 7, FALSE)</f>
        <v>2026-10-05</v>
      </c>
      <c r="G26" s="11" t="str">
        <f>VLOOKUP($L$4&amp;"_"&amp;$A26, Khung_KeHoach_Chuan!$A$11:$J$91, 8, FALSE)</f>
        <v>2026-10-25</v>
      </c>
      <c r="H26" s="10" t="str">
        <f>VLOOKUP($L$4&amp;"_"&amp;$A26, Khung_KeHoach_Chuan!$A$11:$J$91, 9, FALSE)</f>
        <v>Hệ thống hoàn chỉnh tất cả các module</v>
      </c>
      <c r="I26" s="11" t="s">
        <v>518</v>
      </c>
      <c r="J26" s="10"/>
    </row>
    <row r="27" spans="1:10" ht="28.5">
      <c r="A27" s="13">
        <v>12</v>
      </c>
      <c r="B27" s="14" t="str">
        <f>VLOOKUP($L$4&amp;"_"&amp;$A27, Khung_KeHoach_Chuan!$A$11:$J$91, 4, FALSE)</f>
        <v>III. TRIỂN KHAI / THỰC NGHIỆM</v>
      </c>
      <c r="C27" s="16" t="str">
        <f>VLOOKUP($L$4&amp;"_"&amp;$A27, Khung_KeHoach_Chuan!$A$11:$J$91, 5, FALSE)</f>
        <v>Tích hợp toàn diện hệ thống, kiểm thử liên kết &amp; tối ưu hóa</v>
      </c>
      <c r="D27" s="32" t="str">
        <f>VLOOKUP($L$4&amp;"_"&amp;$A27, Khung_KeHoach_Chuan!$A$11:$J$91, 6, FALSE)</f>
        <v>Kết nối các thành phần, tối ưu thời gian xử lý, cải thiện độ ổn định hệ thống</v>
      </c>
      <c r="E27" s="35"/>
      <c r="F27" s="15" t="str">
        <f>VLOOKUP($L$4&amp;"_"&amp;$A27, Khung_KeHoach_Chuan!$A$11:$J$91, 7, FALSE)</f>
        <v>2026-10-26</v>
      </c>
      <c r="G27" s="15" t="str">
        <f>VLOOKUP($L$4&amp;"_"&amp;$A27, Khung_KeHoach_Chuan!$A$11:$J$91, 8, FALSE)</f>
        <v>2026-11-08</v>
      </c>
      <c r="H27" s="14" t="str">
        <f>VLOOKUP($L$4&amp;"_"&amp;$A27, Khung_KeHoach_Chuan!$A$11:$J$91, 9, FALSE)</f>
        <v>Bản Release ứng cử viên (Release Candidate)</v>
      </c>
      <c r="I27" s="15" t="s">
        <v>518</v>
      </c>
      <c r="J27" s="14"/>
    </row>
    <row r="28" spans="1:10" ht="28.5">
      <c r="A28" s="9">
        <v>13</v>
      </c>
      <c r="B28" s="10" t="str">
        <f>VLOOKUP($L$4&amp;"_"&amp;$A28, Khung_KeHoach_Chuan!$A$11:$J$91, 4, FALSE)</f>
        <v>III. TRIỂN KHAI / THỰC NGHIỆM</v>
      </c>
      <c r="C28" s="17" t="str">
        <f>VLOOKUP($L$4&amp;"_"&amp;$A28, Khung_KeHoach_Chuan!$A$11:$J$91, 5, FALSE)</f>
        <v>Lưu trữ nhật ký thực nghiệm, Logs, Raw Data &amp; Evidence</v>
      </c>
      <c r="D28" s="33" t="str">
        <f>VLOOKUP($L$4&amp;"_"&amp;$A28, Khung_KeHoach_Chuan!$A$11:$J$91, 6, FALSE)</f>
        <v>Log cấu hình controller, thay đổi chính sách định tuyến để đối chiếu kết quả</v>
      </c>
      <c r="E28" s="35"/>
      <c r="F28" s="11" t="str">
        <f>VLOOKUP($L$4&amp;"_"&amp;$A28, Khung_KeHoach_Chuan!$A$11:$J$91, 7, FALSE)</f>
        <v>2026-09-20</v>
      </c>
      <c r="G28" s="11" t="str">
        <f>VLOOKUP($L$4&amp;"_"&amp;$A28, Khung_KeHoach_Chuan!$A$11:$J$91, 8, FALSE)</f>
        <v>2026-11-15</v>
      </c>
      <c r="H28" s="10" t="str">
        <f>VLOOKUP($L$4&amp;"_"&amp;$A28, Khung_KeHoach_Chuan!$A$11:$J$91, 9, FALSE)</f>
        <v>Repository thực nghiệm + Thư mục Raw Data/Logs</v>
      </c>
      <c r="I28" s="11" t="s">
        <v>518</v>
      </c>
      <c r="J28" s="10"/>
    </row>
    <row r="29" spans="1:10" ht="28.5">
      <c r="A29" s="13">
        <v>14</v>
      </c>
      <c r="B29" s="14" t="str">
        <f>VLOOKUP($L$4&amp;"_"&amp;$A29, Khung_KeHoach_Chuan!$A$11:$J$91, 4, FALSE)</f>
        <v>IV. KIỂM THỬ &amp; ĐÁNH GIÁ</v>
      </c>
      <c r="C29" s="16" t="str">
        <f>VLOOKUP($L$4&amp;"_"&amp;$A29, Khung_KeHoach_Chuan!$A$11:$J$91, 5, FALSE)</f>
        <v>Chạy thực nghiệm chính thức trên toàn bộ tập dữ liệu/topology</v>
      </c>
      <c r="D29" s="32" t="str">
        <f>VLOOKUP($L$4&amp;"_"&amp;$A29, Khung_KeHoach_Chuan!$A$11:$J$91, 6, FALSE)</f>
        <v>Đo đạc chính thức theo kịch bản đã thiết lập; lặp lại nhiều lần đảm bảo khách quan</v>
      </c>
      <c r="E29" s="35"/>
      <c r="F29" s="15" t="str">
        <f>VLOOKUP($L$4&amp;"_"&amp;$A29, Khung_KeHoach_Chuan!$A$11:$J$91, 7, FALSE)</f>
        <v>2026-11-09</v>
      </c>
      <c r="G29" s="15" t="str">
        <f>VLOOKUP($L$4&amp;"_"&amp;$A29, Khung_KeHoach_Chuan!$A$11:$J$91, 8, FALSE)</f>
        <v>2026-11-20</v>
      </c>
      <c r="H29" s="14" t="str">
        <f>VLOOKUP($L$4&amp;"_"&amp;$A29, Khung_KeHoach_Chuan!$A$11:$J$91, 9, FALSE)</f>
        <v>Bảng dữ liệu kết quả thực nghiệm thô (Raw Results)</v>
      </c>
      <c r="I29" s="15" t="s">
        <v>518</v>
      </c>
      <c r="J29" s="14"/>
    </row>
    <row r="30" spans="1:10" ht="28.5">
      <c r="A30" s="9">
        <v>15</v>
      </c>
      <c r="B30" s="10" t="str">
        <f>VLOOKUP($L$4&amp;"_"&amp;$A30, Khung_KeHoach_Chuan!$A$11:$J$91, 4, FALSE)</f>
        <v>IV. KIỂM THỬ &amp; ĐÁNH GIÁ</v>
      </c>
      <c r="C30" s="17" t="str">
        <f>VLOOKUP($L$4&amp;"_"&amp;$A30, Khung_KeHoach_Chuan!$A$11:$J$91, 5, FALSE)</f>
        <v>Xử lý, làm sạch &amp; chuẩn hóa dữ liệu kết quả thực nghiệm</v>
      </c>
      <c r="D30" s="33" t="str">
        <f>VLOOKUP($L$4&amp;"_"&amp;$A30, Khung_KeHoach_Chuan!$A$11:$J$91, 6, FALSE)</f>
        <v>Phân tích thống kê, loại trừ ngoại lai có giải trình, tính giá trị trung bình/độ lệch chuẩn</v>
      </c>
      <c r="E30" s="35"/>
      <c r="F30" s="11" t="str">
        <f>VLOOKUP($L$4&amp;"_"&amp;$A30, Khung_KeHoach_Chuan!$A$11:$J$91, 7, FALSE)</f>
        <v>2026-11-16</v>
      </c>
      <c r="G30" s="11" t="str">
        <f>VLOOKUP($L$4&amp;"_"&amp;$A30, Khung_KeHoach_Chuan!$A$11:$J$91, 8, FALSE)</f>
        <v>2026-11-25</v>
      </c>
      <c r="H30" s="10" t="str">
        <f>VLOOKUP($L$4&amp;"_"&amp;$A30, Khung_KeHoach_Chuan!$A$11:$J$91, 9, FALSE)</f>
        <v>Dataset kết quả đã được làm sạch và xử lý</v>
      </c>
      <c r="I30" s="11" t="s">
        <v>518</v>
      </c>
      <c r="J30" s="10"/>
    </row>
    <row r="31" spans="1:10" ht="28.5">
      <c r="A31" s="13">
        <v>16</v>
      </c>
      <c r="B31" s="14" t="str">
        <f>VLOOKUP($L$4&amp;"_"&amp;$A31, Khung_KeHoach_Chuan!$A$11:$J$91, 4, FALSE)</f>
        <v>IV. KIỂM THỬ &amp; ĐÁNH GIÁ</v>
      </c>
      <c r="C31" s="16" t="str">
        <f>VLOOKUP($L$4&amp;"_"&amp;$A31, Khung_KeHoach_Chuan!$A$11:$J$91, 5, FALSE)</f>
        <v>Phân tích kết quả, so sánh Baseline &amp; trực quan hóa</v>
      </c>
      <c r="D31" s="32" t="str">
        <f>VLOOKUP($L$4&amp;"_"&amp;$A31, Khung_KeHoach_Chuan!$A$11:$J$91, 6, FALSE)</f>
        <v>Vẽ biểu đồ so sánh mô hình đề xuất với baseline, phân tích trường hợp thành công/thất bại</v>
      </c>
      <c r="E31" s="35"/>
      <c r="F31" s="15" t="str">
        <f>VLOOKUP($L$4&amp;"_"&amp;$A31, Khung_KeHoach_Chuan!$A$11:$J$91, 7, FALSE)</f>
        <v>2026-11-21</v>
      </c>
      <c r="G31" s="15" t="str">
        <f>VLOOKUP($L$4&amp;"_"&amp;$A31, Khung_KeHoach_Chuan!$A$11:$J$91, 8, FALSE)</f>
        <v>2026-11-30</v>
      </c>
      <c r="H31" s="14" t="str">
        <f>VLOOKUP($L$4&amp;"_"&amp;$A31, Khung_KeHoach_Chuan!$A$11:$J$91, 9, FALSE)</f>
        <v>Bộ biểu đồ chuyên nghiệp + Bảng phân tích chuyên sâu</v>
      </c>
      <c r="I31" s="15" t="s">
        <v>518</v>
      </c>
      <c r="J31" s="14"/>
    </row>
    <row r="32" spans="1:10" ht="28.5">
      <c r="A32" s="9">
        <v>17</v>
      </c>
      <c r="B32" s="10" t="str">
        <f>VLOOKUP($L$4&amp;"_"&amp;$A32, Khung_KeHoach_Chuan!$A$11:$J$91, 4, FALSE)</f>
        <v>IV. KIỂM THỬ &amp; ĐÁNH GIÁ</v>
      </c>
      <c r="C32" s="17" t="str">
        <f>VLOOKUP($L$4&amp;"_"&amp;$A32, Khung_KeHoach_Chuan!$A$11:$J$91, 5, FALSE)</f>
        <v>Đối chiếu mục tiêu ban đầu, đóng góp &amp; chỉ ra hạn chế</v>
      </c>
      <c r="D32" s="33" t="str">
        <f>VLOOKUP($L$4&amp;"_"&amp;$A32, Khung_KeHoach_Chuan!$A$11:$J$91, 6, FALSE)</f>
        <v>Đánh giá mức độ hoàn thành so với cam kết ban đầu; nêu điểm mới và hạn chế</v>
      </c>
      <c r="E32" s="35"/>
      <c r="F32" s="11" t="str">
        <f>VLOOKUP($L$4&amp;"_"&amp;$A32, Khung_KeHoach_Chuan!$A$11:$J$91, 7, FALSE)</f>
        <v>2026-11-26</v>
      </c>
      <c r="G32" s="11" t="str">
        <f>VLOOKUP($L$4&amp;"_"&amp;$A32, Khung_KeHoach_Chuan!$A$11:$J$91, 8, FALSE)</f>
        <v>2026-12-05</v>
      </c>
      <c r="H32" s="10" t="str">
        <f>VLOOKUP($L$4&amp;"_"&amp;$A32, Khung_KeHoach_Chuan!$A$11:$J$91, 9, FALSE)</f>
        <v>Bảng tổng hợp đối chiếu Mục tiêu - Kết quả đạt được</v>
      </c>
      <c r="I32" s="11" t="s">
        <v>518</v>
      </c>
      <c r="J32" s="10"/>
    </row>
    <row r="33" spans="1:10" ht="28.5">
      <c r="A33" s="13">
        <v>18</v>
      </c>
      <c r="B33" s="14" t="str">
        <f>VLOOKUP($L$4&amp;"_"&amp;$A33, Khung_KeHoach_Chuan!$A$11:$J$91, 4, FALSE)</f>
        <v>V. VIẾT &amp; HOÀN THIỆN BÁO CÁO</v>
      </c>
      <c r="C33" s="16" t="str">
        <f>VLOOKUP($L$4&amp;"_"&amp;$A33, Khung_KeHoach_Chuan!$A$11:$J$91, 5, FALSE)</f>
        <v>Xây dựng khung báo cáo &amp; hoàn thành Chương 1, 2, 3</v>
      </c>
      <c r="D33" s="32" t="str">
        <f>VLOOKUP($L$4&amp;"_"&amp;$A33, Khung_KeHoach_Chuan!$A$11:$J$91, 6, FALSE)</f>
        <v>Mở đầu, Cơ sở lý thuyết SDN/SD-WAN, Thiết kế hệ thống theo chuẩn ĐATN TDTU</v>
      </c>
      <c r="E33" s="35"/>
      <c r="F33" s="15" t="str">
        <f>VLOOKUP($L$4&amp;"_"&amp;$A33, Khung_KeHoach_Chuan!$A$11:$J$91, 7, FALSE)</f>
        <v>2026-11-01</v>
      </c>
      <c r="G33" s="15" t="str">
        <f>VLOOKUP($L$4&amp;"_"&amp;$A33, Khung_KeHoach_Chuan!$A$11:$J$91, 8, FALSE)</f>
        <v>2026-11-20</v>
      </c>
      <c r="H33" s="14" t="str">
        <f>VLOOKUP($L$4&amp;"_"&amp;$A33, Khung_KeHoach_Chuan!$A$11:$J$91, 9, FALSE)</f>
        <v>Bản thảo Chương 1, 2, 3 chuẩn quy cách ĐATN TDTU</v>
      </c>
      <c r="I33" s="15" t="s">
        <v>518</v>
      </c>
      <c r="J33" s="14"/>
    </row>
    <row r="34" spans="1:10" ht="28.5">
      <c r="A34" s="9">
        <v>19</v>
      </c>
      <c r="B34" s="10" t="str">
        <f>VLOOKUP($L$4&amp;"_"&amp;$A34, Khung_KeHoach_Chuan!$A$11:$J$91, 4, FALSE)</f>
        <v>V. VIẾT &amp; HOÀN THIỆN BÁO CÁO</v>
      </c>
      <c r="C34" s="17" t="str">
        <f>VLOOKUP($L$4&amp;"_"&amp;$A34, Khung_KeHoach_Chuan!$A$11:$J$91, 5, FALSE)</f>
        <v>Viết Chương Triển khai, Thực nghiệm &amp; Đánh giá (Chương 4, 5)</v>
      </c>
      <c r="D34" s="33" t="str">
        <f>VLOOKUP($L$4&amp;"_"&amp;$A34, Khung_KeHoach_Chuan!$A$11:$J$91, 6, FALSE)</f>
        <v>Môi trường thực nghiệm, kết quả triển khai/kiểm thử, thảo luận kết quả</v>
      </c>
      <c r="E34" s="35"/>
      <c r="F34" s="11" t="str">
        <f>VLOOKUP($L$4&amp;"_"&amp;$A34, Khung_KeHoach_Chuan!$A$11:$J$91, 7, FALSE)</f>
        <v>2026-11-21</v>
      </c>
      <c r="G34" s="11" t="str">
        <f>VLOOKUP($L$4&amp;"_"&amp;$A34, Khung_KeHoach_Chuan!$A$11:$J$91, 8, FALSE)</f>
        <v>2026-12-05</v>
      </c>
      <c r="H34" s="10" t="str">
        <f>VLOOKUP($L$4&amp;"_"&amp;$A34, Khung_KeHoach_Chuan!$A$11:$J$91, 9, FALSE)</f>
        <v>Bản thảo Chương 4, 5 chi tiết</v>
      </c>
      <c r="I34" s="11" t="s">
        <v>518</v>
      </c>
      <c r="J34" s="10"/>
    </row>
    <row r="35" spans="1:10" ht="28.5">
      <c r="A35" s="13">
        <v>20</v>
      </c>
      <c r="B35" s="14" t="str">
        <f>VLOOKUP($L$4&amp;"_"&amp;$A35, Khung_KeHoach_Chuan!$A$11:$J$91, 4, FALSE)</f>
        <v>V. VIẾT &amp; HOÀN THIỆN BÁO CÁO</v>
      </c>
      <c r="C35" s="16" t="str">
        <f>VLOOKUP($L$4&amp;"_"&amp;$A35, Khung_KeHoach_Chuan!$A$11:$J$91, 5, FALSE)</f>
        <v>Viết Kết luận, Tóm tắt, Tài liệu tham khảo &amp; Phụ lục</v>
      </c>
      <c r="D35" s="32" t="str">
        <f>VLOOKUP($L$4&amp;"_"&amp;$A35, Khung_KeHoach_Chuan!$A$11:$J$91, 6, FALSE)</f>
        <v>Kết luận &amp; Hướng phát triển, chuẩn hóa tài liệu tham khảo theo IEEE</v>
      </c>
      <c r="E35" s="35"/>
      <c r="F35" s="15" t="str">
        <f>VLOOKUP($L$4&amp;"_"&amp;$A35, Khung_KeHoach_Chuan!$A$11:$J$91, 7, FALSE)</f>
        <v>2026-12-01</v>
      </c>
      <c r="G35" s="15" t="str">
        <f>VLOOKUP($L$4&amp;"_"&amp;$A35, Khung_KeHoach_Chuan!$A$11:$J$91, 8, FALSE)</f>
        <v>2026-12-08</v>
      </c>
      <c r="H35" s="14" t="str">
        <f>VLOOKUP($L$4&amp;"_"&amp;$A35, Khung_KeHoach_Chuan!$A$11:$J$91, 9, FALSE)</f>
        <v>Bản thảo toàn văn 100% (Full Draft v1)</v>
      </c>
      <c r="I35" s="15" t="s">
        <v>518</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hiệu chỉnh</v>
      </c>
      <c r="D36" s="33" t="str">
        <f>VLOOKUP($L$4&amp;"_"&amp;$A36, Khung_KeHoach_Chuan!$A$11:$J$91, 6, FALSE)</f>
        <v>Gửi bản thảo cho GVHD phản biện; tiếp thu chỉnh sửa cấu trúc, thuật ngữ kỹ thuật</v>
      </c>
      <c r="E36" s="35"/>
      <c r="F36" s="11" t="str">
        <f>VLOOKUP($L$4&amp;"_"&amp;$A36, Khung_KeHoach_Chuan!$A$11:$J$91, 7, FALSE)</f>
        <v>2026-12-06</v>
      </c>
      <c r="G36" s="11" t="str">
        <f>VLOOKUP($L$4&amp;"_"&amp;$A36, Khung_KeHoach_Chuan!$A$11:$J$91, 8, FALSE)</f>
        <v>2026-12-10</v>
      </c>
      <c r="H36" s="10" t="str">
        <f>VLOOKUP($L$4&amp;"_"&amp;$A36, Khung_KeHoach_Chuan!$A$11:$J$91, 9, FALSE)</f>
        <v>Bản thảo đã được GVHD góp ý và chỉnh sửa</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ĐATN (FINAL REPORT)</v>
      </c>
      <c r="D37" s="34" t="str">
        <f>VLOOKUP($L$4&amp;"_"&amp;$A37, Khung_KeHoach_Chuan!$A$11:$J$91, 6, FALSE)</f>
        <v>Hoàn tất 100% nội dung, chính tả, định dạng chuẩn TDTU, xuất PDF báo cáo sạch</v>
      </c>
      <c r="E37" s="35"/>
      <c r="F37" s="20" t="str">
        <f>VLOOKUP($L$4&amp;"_"&amp;$A37, Khung_KeHoach_Chuan!$A$11:$J$91, 7, FALSE)</f>
        <v>2026-12-10</v>
      </c>
      <c r="G37" s="20" t="str">
        <f>VLOOKUP($L$4&amp;"_"&amp;$A37, Khung_KeHoach_Chuan!$A$11:$J$91, 8, FALSE)</f>
        <v>2026-12-10</v>
      </c>
      <c r="H37" s="21" t="str">
        <f>VLOOKUP($L$4&amp;"_"&amp;$A37, Khung_KeHoach_Chuan!$A$11:$J$91, 9, FALSE)</f>
        <v>BÁO CÁO SẠCH HOÀN TẤT (Trước deadline 1 tuần)</v>
      </c>
      <c r="I37" s="20" t="s">
        <v>518</v>
      </c>
      <c r="J37" s="21"/>
    </row>
    <row r="38" spans="1:10" ht="28.5">
      <c r="A38" s="19">
        <v>23</v>
      </c>
      <c r="B38" s="21" t="str">
        <f>VLOOKUP($L$4&amp;"_"&amp;$A38, Khung_KeHoach_Chuan!$A$11:$J$91, 4, FALSE)</f>
        <v>VI. ĐÓNG GÓI, PHẢN BIỆN, BẢO VỆ &amp; NỘP ELIT</v>
      </c>
      <c r="C38" s="31" t="str">
        <f>VLOOKUP($L$4&amp;"_"&amp;$A38, Khung_KeHoach_Chuan!$A$11:$J$91, 5, FALSE)</f>
        <v>NỘP BÁO CÁO CUỐI KỲ (TURNITIN + ELIT)</v>
      </c>
      <c r="D38" s="34" t="str">
        <f>VLOOKUP($L$4&amp;"_"&amp;$A38, Khung_KeHoach_Chuan!$A$11:$J$91, 6, FALSE)</f>
        <v>Nộp file lên Turnitin (kiểm tra đạo văn) và hệ thống ELIT theo thông báo Khoa</v>
      </c>
      <c r="E38" s="35"/>
      <c r="F38" s="20" t="str">
        <f>VLOOKUP($L$4&amp;"_"&amp;$A38, Khung_KeHoach_Chuan!$A$11:$J$91, 7, FALSE)</f>
        <v>2026-12-17</v>
      </c>
      <c r="G38" s="20" t="str">
        <f>VLOOKUP($L$4&amp;"_"&amp;$A38, Khung_KeHoach_Chuan!$A$11:$J$91, 8, FALSE)</f>
        <v>2026-12-27</v>
      </c>
      <c r="H38" s="21" t="str">
        <f>VLOOKUP($L$4&amp;"_"&amp;$A38, Khung_KeHoach_Chuan!$A$11:$J$91, 9, FALSE)</f>
        <v>Xác nhận nộp báo cáo cuối kỳ thành công trên ELIT</v>
      </c>
      <c r="I38" s="20" t="s">
        <v>518</v>
      </c>
      <c r="J38" s="21"/>
    </row>
    <row r="39" spans="1:10" ht="28.5">
      <c r="A39" s="13">
        <v>24</v>
      </c>
      <c r="B39" s="14" t="str">
        <f>VLOOKUP($L$4&amp;"_"&amp;$A39, Khung_KeHoach_Chuan!$A$11:$J$91, 4, FALSE)</f>
        <v>VI. ĐÓNG GÓI, PHẢN BIỆN, BẢO VỆ &amp; NỘP ELIT</v>
      </c>
      <c r="C39" s="16" t="str">
        <f>VLOOKUP($L$4&amp;"_"&amp;$A39, Khung_KeHoach_Chuan!$A$11:$J$91, 5, FALSE)</f>
        <v>GVHD duyệt xác nhận cho SV ra Hội đồng phản biện</v>
      </c>
      <c r="D39" s="32" t="str">
        <f>VLOOKUP($L$4&amp;"_"&amp;$A39, Khung_KeHoach_Chuan!$A$11:$J$91, 6, FALSE)</f>
        <v>ThS. Lê Viết Thanh xác nhận đủ điều kiện ra Hội đồng trên hệ thống</v>
      </c>
      <c r="E39" s="35"/>
      <c r="F39" s="15" t="str">
        <f>VLOOKUP($L$4&amp;"_"&amp;$A39, Khung_KeHoach_Chuan!$A$11:$J$91, 7, FALSE)</f>
        <v>2026-12-22</v>
      </c>
      <c r="G39" s="15" t="str">
        <f>VLOOKUP($L$4&amp;"_"&amp;$A39, Khung_KeHoach_Chuan!$A$11:$J$91, 8, FALSE)</f>
        <v>2026-12-26</v>
      </c>
      <c r="H39" s="14" t="str">
        <f>VLOOKUP($L$4&amp;"_"&amp;$A39, Khung_KeHoach_Chuan!$A$11:$J$91, 9, FALSE)</f>
        <v>Xác nhận của GVHD đủ điều kiện phản biện</v>
      </c>
      <c r="I39" s="15" t="s">
        <v>518</v>
      </c>
      <c r="J39" s="14"/>
    </row>
    <row r="40" spans="1:10" ht="28.5">
      <c r="A40" s="9">
        <v>25</v>
      </c>
      <c r="B40" s="10" t="str">
        <f>VLOOKUP($L$4&amp;"_"&amp;$A40, Khung_KeHoach_Chuan!$A$11:$J$91, 4, FALSE)</f>
        <v>VI. ĐÓNG GÓI, PHẢN BIỆN, BẢO VỆ &amp; NỘP ELIT</v>
      </c>
      <c r="C40" s="17" t="str">
        <f>VLOOKUP($L$4&amp;"_"&amp;$A40, Khung_KeHoach_Chuan!$A$11:$J$91, 5, FALSE)</f>
        <v>Gặp &amp; Báo cáo với Giảng viên phản biện (GVPB)</v>
      </c>
      <c r="D40" s="33" t="str">
        <f>VLOOKUP($L$4&amp;"_"&amp;$A40, Khung_KeHoach_Chuan!$A$11:$J$91, 6, FALSE)</f>
        <v>Trình bày kết quả triển khai giải pháp SDN/SD-WAN với GVPB; nhận phiếu đánh giá</v>
      </c>
      <c r="E40" s="35"/>
      <c r="F40" s="11" t="str">
        <f>VLOOKUP($L$4&amp;"_"&amp;$A40, Khung_KeHoach_Chuan!$A$11:$J$91, 7, FALSE)</f>
        <v>2027-01-01</v>
      </c>
      <c r="G40" s="11" t="str">
        <f>VLOOKUP($L$4&amp;"_"&amp;$A40, Khung_KeHoach_Chuan!$A$11:$J$91, 8, FALSE)</f>
        <v>2027-01-08</v>
      </c>
      <c r="H40" s="10" t="str">
        <f>VLOOKUP($L$4&amp;"_"&amp;$A40, Khung_KeHoach_Chuan!$A$11:$J$91, 9, FALSE)</f>
        <v>Phiếu chấm điểm phản biện của GVPB</v>
      </c>
      <c r="I40" s="11" t="s">
        <v>518</v>
      </c>
      <c r="J40" s="10"/>
    </row>
    <row r="41" spans="1:10" ht="28.5">
      <c r="A41" s="13">
        <v>26</v>
      </c>
      <c r="B41" s="14" t="str">
        <f>VLOOKUP($L$4&amp;"_"&amp;$A41, Khung_KeHoach_Chuan!$A$11:$J$91, 4, FALSE)</f>
        <v>VI. ĐÓNG GÓI, PHẢN BIỆN, BẢO VỆ &amp; NỘP ELIT</v>
      </c>
      <c r="C41" s="16" t="str">
        <f>VLOOKUP($L$4&amp;"_"&amp;$A41, Khung_KeHoach_Chuan!$A$11:$J$91, 5, FALSE)</f>
        <v>TỔ CHỨC HỘI ĐỒNG BẢO VỆ ĐATN</v>
      </c>
      <c r="D41" s="32" t="str">
        <f>VLOOKUP($L$4&amp;"_"&amp;$A41, Khung_KeHoach_Chuan!$A$11:$J$91, 6, FALSE)</f>
        <v>Thuyết trình trước Hội đồng đánh giá ĐATN của Khoa CNTT - ĐH Tôn Đức Thắng</v>
      </c>
      <c r="E41" s="35"/>
      <c r="F41" s="15" t="str">
        <f>VLOOKUP($L$4&amp;"_"&amp;$A41, Khung_KeHoach_Chuan!$A$11:$J$91, 7, FALSE)</f>
        <v>2027-01-13</v>
      </c>
      <c r="G41" s="15" t="str">
        <f>VLOOKUP($L$4&amp;"_"&amp;$A41, Khung_KeHoach_Chuan!$A$11:$J$91, 8, FALSE)</f>
        <v>2027-01-18</v>
      </c>
      <c r="H41" s="14" t="str">
        <f>VLOOKUP($L$4&amp;"_"&amp;$A41, Khung_KeHoach_Chuan!$A$11:$J$91, 9, FALSE)</f>
        <v>Biên bản chấm điểm của Hội đồng bảo vệ ĐATN</v>
      </c>
      <c r="I41" s="15" t="s">
        <v>518</v>
      </c>
      <c r="J41" s="14"/>
    </row>
    <row r="42" spans="1:10" ht="28.5">
      <c r="A42" s="19">
        <v>27</v>
      </c>
      <c r="B42" s="21" t="str">
        <f>VLOOKUP($L$4&amp;"_"&amp;$A42, Khung_KeHoach_Chuan!$A$11:$J$91, 4, FALSE)</f>
        <v>VI. ĐÓNG GÓI, PHẢN BIỆN, BẢO VỆ &amp; NỘP ELIT</v>
      </c>
      <c r="C42" s="31" t="str">
        <f>VLOOKUP($L$4&amp;"_"&amp;$A42, Khung_KeHoach_Chuan!$A$11:$J$91, 5, FALSE)</f>
        <v>Chỉnh sửa theo góp ý Hội đồng &amp; Nộp file ELIT</v>
      </c>
      <c r="D42" s="34" t="str">
        <f>VLOOKUP($L$4&amp;"_"&amp;$A42, Khung_KeHoach_Chuan!$A$11:$J$91, 6, FALSE)</f>
        <v>Hiệu chỉnh báo cáo theo nhận xét của HĐ, nộp file hoàn thiện lên ELIT</v>
      </c>
      <c r="E42" s="35"/>
      <c r="F42" s="20" t="str">
        <f>VLOOKUP($L$4&amp;"_"&amp;$A42, Khung_KeHoach_Chuan!$A$11:$J$91, 7, FALSE)</f>
        <v>2027-01-18</v>
      </c>
      <c r="G42" s="20" t="str">
        <f>VLOOKUP($L$4&amp;"_"&amp;$A42, Khung_KeHoach_Chuan!$A$11:$J$91, 8, FALSE)</f>
        <v>2027-02-16</v>
      </c>
      <c r="H42" s="21" t="str">
        <f>VLOOKUP($L$4&amp;"_"&amp;$A42, Khung_KeHoach_Chuan!$A$11:$J$91, 9, FALSE)</f>
        <v>Điểm số ĐATN chính thức được công nhận</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800-000000000000}">
      <formula1>"Dự án CNTT,Đồ án tốt nghiệp,Khóa luận tốt nghiệp,Dự án + Đồ án,Dự án + Khóa luận"</formula1>
    </dataValidation>
    <dataValidation type="list" allowBlank="1" sqref="I16:I42" xr:uid="{00000000-0002-0000-0800-000001000000}">
      <formula1>"Chưa bắt đầu,Đang thực hiện,Hoàn thành,Tạm hoãn - Bị chặn"</formula1>
    </dataValidation>
    <dataValidation type="list" allowBlank="1" showInputMessage="1" showErrorMessage="1" sqref="C10" xr:uid="{A0588FD3-1332-4376-8613-B9EC7F99C2E3}">
      <formula1>"Dự án CNTT,Đồ án tốt nghiệp,Khóa luận tốt nghiệp"</formula1>
    </dataValidation>
    <dataValidation type="list" allowBlank="1" showInputMessage="1" showErrorMessage="1" sqref="I45:I71" xr:uid="{0678EEA3-3673-43F3-8409-0BE93104DA00}">
      <formula1>"Chưa bắt đầu,Đang thực hiện,Hoàn thành,Tạm hoãn - Bị chặn"</formula1>
    </dataValidation>
  </dataValidations>
  <pageMargins left="0.75" right="0.75" top="1" bottom="1"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05"/>
  <sheetViews>
    <sheetView topLeftCell="A25" workbookViewId="0">
      <selection activeCell="A28" sqref="A28"/>
    </sheetView>
  </sheetViews>
  <sheetFormatPr defaultColWidth="14.42578125" defaultRowHeight="15" customHeight="1"/>
  <cols>
    <col min="1" max="1" width="24.140625" customWidth="1"/>
    <col min="2" max="2" width="28.85546875" customWidth="1"/>
    <col min="3" max="3" width="78.42578125" customWidth="1"/>
    <col min="4" max="5" width="57.5703125" customWidth="1"/>
    <col min="6" max="6" width="15.7109375" customWidth="1"/>
    <col min="7" max="7" width="30.42578125" customWidth="1"/>
    <col min="8" max="8" width="42" customWidth="1"/>
    <col min="9" max="9" width="21.7109375" customWidth="1"/>
    <col min="10" max="10" width="36" customWidth="1"/>
    <col min="11" max="27" width="8.7109375" customWidth="1"/>
  </cols>
  <sheetData>
    <row r="1" spans="1:12" ht="18">
      <c r="A1" s="83" t="s">
        <v>648</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18">
      <c r="A4" s="22" t="s">
        <v>487</v>
      </c>
      <c r="B4" s="1"/>
      <c r="C4" s="23" t="s">
        <v>649</v>
      </c>
      <c r="D4" s="1"/>
      <c r="E4" s="1"/>
      <c r="F4" s="22" t="s">
        <v>488</v>
      </c>
      <c r="G4" s="24" t="s">
        <v>489</v>
      </c>
      <c r="H4" s="1"/>
      <c r="I4" s="1"/>
      <c r="J4" s="38"/>
      <c r="L4" s="37" t="str">
        <f>IF(OR($C$4="Dự án + Đồ án",$C$4="Dự án + Khóa luận"),"Dự án CNTT",$C$4)</f>
        <v>Dự án CNTT</v>
      </c>
    </row>
    <row r="5" spans="1:12" ht="18">
      <c r="A5" s="17" t="s">
        <v>490</v>
      </c>
      <c r="B5" s="1"/>
      <c r="C5" t="s">
        <v>650</v>
      </c>
      <c r="J5" s="38"/>
    </row>
    <row r="6" spans="1:12" ht="28.5">
      <c r="A6" s="22" t="s">
        <v>492</v>
      </c>
      <c r="B6" s="1"/>
      <c r="C6" s="10" t="s">
        <v>651</v>
      </c>
      <c r="D6" s="1"/>
      <c r="E6" s="1"/>
      <c r="F6" s="22" t="s">
        <v>494</v>
      </c>
      <c r="G6" s="10" t="s">
        <v>652</v>
      </c>
      <c r="H6" s="1"/>
      <c r="I6" s="1"/>
      <c r="J6" s="38"/>
    </row>
    <row r="7" spans="1:12" ht="30.75">
      <c r="A7" s="22" t="s">
        <v>496</v>
      </c>
      <c r="B7" s="1"/>
      <c r="C7" s="40" t="s">
        <v>653</v>
      </c>
      <c r="D7" s="1"/>
      <c r="E7" s="1"/>
      <c r="F7" s="22" t="s">
        <v>498</v>
      </c>
      <c r="G7" s="40" t="s">
        <v>654</v>
      </c>
      <c r="H7" s="1"/>
      <c r="I7" s="1"/>
      <c r="J7" s="38"/>
    </row>
    <row r="8" spans="1:12" ht="42.75">
      <c r="A8" s="22" t="s">
        <v>500</v>
      </c>
      <c r="B8" s="1"/>
      <c r="C8" s="17" t="str">
        <f>VLOOKUP($L$4, Khung_KeHoach_Chuan!$A$5:$H$7, 2, FALSE)</f>
        <v>2026-08-24</v>
      </c>
      <c r="D8" s="1"/>
      <c r="E8" s="1"/>
      <c r="F8" s="22" t="s">
        <v>501</v>
      </c>
      <c r="G8" s="26" t="str">
        <f>VLOOKUP($L$4, Khung_KeHoach_Chuan!$A$5:$H$7, 4, FALSE)</f>
        <v>2026-11-20</v>
      </c>
      <c r="H8" s="1"/>
      <c r="I8" s="1"/>
      <c r="J8" s="38"/>
    </row>
    <row r="9" spans="1:12" ht="28.5">
      <c r="A9" s="22" t="s">
        <v>502</v>
      </c>
      <c r="B9" s="1"/>
      <c r="C9" s="26" t="str">
        <f>VLOOKUP($L$4, Khung_KeHoach_Chuan!$A$5:$H$7, 5, FALSE)</f>
        <v>2026-12-04</v>
      </c>
      <c r="D9" s="1"/>
      <c r="E9" s="1"/>
      <c r="F9" s="22" t="s">
        <v>503</v>
      </c>
      <c r="G9" s="27" t="str">
        <f>VLOOKUP($L$4, Khung_KeHoach_Chuan!$A$5:$H$7, 7, FALSE)</f>
        <v>26/12/2026 – 31/12/2026</v>
      </c>
      <c r="H9" s="1"/>
      <c r="I9" s="1"/>
      <c r="J9" s="38"/>
    </row>
    <row r="10" spans="1:12" ht="18">
      <c r="A10" s="22" t="s">
        <v>655</v>
      </c>
      <c r="B10" s="1"/>
      <c r="C10" s="77" t="s">
        <v>53</v>
      </c>
      <c r="D10" s="38"/>
      <c r="E10" s="38"/>
      <c r="F10" s="22" t="s">
        <v>488</v>
      </c>
      <c r="G10" s="24" t="s">
        <v>489</v>
      </c>
      <c r="H10" s="38"/>
      <c r="I10" s="38"/>
      <c r="J10" s="38"/>
    </row>
    <row r="11" spans="1:12" ht="18">
      <c r="A11" s="17" t="s">
        <v>490</v>
      </c>
      <c r="B11" s="76"/>
      <c r="C11" s="80" t="s">
        <v>656</v>
      </c>
      <c r="D11" s="81"/>
      <c r="E11" s="81"/>
      <c r="H11" s="81"/>
      <c r="I11" s="82"/>
      <c r="J11" s="38"/>
    </row>
    <row r="12" spans="1:12" ht="18">
      <c r="A12" s="22" t="s">
        <v>492</v>
      </c>
      <c r="B12" s="76"/>
      <c r="C12" s="10" t="s">
        <v>651</v>
      </c>
      <c r="D12" s="38"/>
      <c r="E12" s="38"/>
      <c r="F12" s="22" t="s">
        <v>494</v>
      </c>
      <c r="G12" s="10" t="s">
        <v>652</v>
      </c>
      <c r="H12" s="38"/>
      <c r="I12" s="38"/>
      <c r="J12" s="38"/>
    </row>
    <row r="13" spans="1:12" ht="18">
      <c r="A13" s="22" t="s">
        <v>496</v>
      </c>
      <c r="B13" s="76"/>
      <c r="C13" s="40" t="s">
        <v>653</v>
      </c>
      <c r="D13" s="38"/>
      <c r="E13" s="38"/>
      <c r="F13" s="22" t="s">
        <v>498</v>
      </c>
      <c r="G13" s="40" t="s">
        <v>654</v>
      </c>
      <c r="H13" s="38"/>
      <c r="I13" s="38"/>
      <c r="J13" s="38"/>
    </row>
    <row r="14" spans="1:12" ht="28.5">
      <c r="A14" s="22" t="s">
        <v>500</v>
      </c>
      <c r="B14" s="1"/>
      <c r="C14" s="17" t="str">
        <f>VLOOKUP($L$4, Khung_KeHoach_Chuan!$A$5:$H$7, 2, FALSE)</f>
        <v>2026-08-24</v>
      </c>
      <c r="D14" s="1"/>
      <c r="E14" s="1"/>
      <c r="F14" s="22" t="s">
        <v>501</v>
      </c>
      <c r="G14" s="26" t="str">
        <f>VLOOKUP($L$4, Khung_KeHoach_Chuan!$A$5:$H$7, 4, FALSE)</f>
        <v>2026-11-20</v>
      </c>
      <c r="H14" s="38"/>
      <c r="I14" s="38"/>
      <c r="J14" s="38"/>
    </row>
    <row r="15" spans="1:12" ht="28.5">
      <c r="A15" s="22" t="s">
        <v>502</v>
      </c>
      <c r="B15" s="1"/>
      <c r="C15" s="26" t="str">
        <f>VLOOKUP($L$4, Khung_KeHoach_Chuan!$A$5:$H$7, 5, FALSE)</f>
        <v>2026-12-04</v>
      </c>
      <c r="D15" s="1"/>
      <c r="E15" s="1"/>
      <c r="F15" s="22" t="s">
        <v>503</v>
      </c>
      <c r="G15" s="27" t="str">
        <f>VLOOKUP($L$4, Khung_KeHoach_Chuan!$A$5:$H$7, 7, FALSE)</f>
        <v>26/12/2026 – 31/12/2026</v>
      </c>
      <c r="H15" s="38"/>
      <c r="I15" s="38"/>
      <c r="J15" s="38"/>
    </row>
    <row r="16" spans="1:12" ht="18">
      <c r="A16" s="89" t="s">
        <v>505</v>
      </c>
      <c r="B16" s="84"/>
      <c r="C16" s="84"/>
      <c r="D16" s="84"/>
      <c r="E16" s="84"/>
      <c r="F16" s="84"/>
      <c r="G16" s="84"/>
      <c r="H16" s="84"/>
      <c r="I16" s="84"/>
      <c r="J16" s="38"/>
    </row>
    <row r="17" spans="1:10" ht="38.25">
      <c r="A17" s="2" t="s">
        <v>506</v>
      </c>
      <c r="B17" s="2" t="s">
        <v>507</v>
      </c>
      <c r="C17" s="2" t="s">
        <v>508</v>
      </c>
      <c r="D17" s="2" t="s">
        <v>509</v>
      </c>
      <c r="E17" s="2"/>
      <c r="F17" s="2" t="s">
        <v>510</v>
      </c>
      <c r="G17" s="2" t="s">
        <v>17</v>
      </c>
      <c r="H17" s="2" t="s">
        <v>511</v>
      </c>
      <c r="I17" s="2" t="s">
        <v>512</v>
      </c>
      <c r="J17" s="38"/>
    </row>
    <row r="18" spans="1:10" ht="46.5">
      <c r="A18" s="28">
        <f>COUNTA(C21:C47) + IF($C$10&lt;&gt;"", COUNTA(C50:C76), 0)</f>
        <v>54</v>
      </c>
      <c r="B18" s="5">
        <f>COUNTIF(I21:I47, "Hoàn thành") + IF($C$10&lt;&gt;"", COUNTIF(I50:I76, "Hoàn thành"), 0)</f>
        <v>16</v>
      </c>
      <c r="C18" s="3">
        <f>COUNTIF(I21:I47, "Đang thực hiện") + IF($C$10&lt;&gt;"", COUNTIF(I50:I76, "Đang thực hiện"), 0)</f>
        <v>3</v>
      </c>
      <c r="D18" s="4">
        <f>COUNTIF(I21:I47, "Chưa bắt đầu") + IF($C$10&lt;&gt;"", COUNTIF(I50:I76, "Chưa bắt đầu"), 0)</f>
        <v>35</v>
      </c>
      <c r="E18" s="4"/>
      <c r="F18" s="29">
        <f>COUNTIF(I21:I47, "Tạm hoãn - Bị chặn") + IF($C$10&lt;&gt;"", COUNTIF(I50:I76, "Tạm hoãn - Bị chặn"), 0)</f>
        <v>0</v>
      </c>
      <c r="G18" s="28" t="str">
        <f>G8</f>
        <v>2026-11-20</v>
      </c>
      <c r="H18" s="30">
        <f>B18/A18</f>
        <v>0.29629629629629628</v>
      </c>
      <c r="I18" s="28" t="str">
        <f>IF(H18=1, "ĐÃ HOÀN TẤT", IF(H18&gt;=0.5, "ĐANG ĐÚNG HẠN", IF(F18&gt;0, "CẦN HỖ TRỢ", "ĐANG THỰC HIỆN")))</f>
        <v>ĐANG THỰC HIỆN</v>
      </c>
      <c r="J18" s="38"/>
    </row>
    <row r="19" spans="1:10" ht="18">
      <c r="A19" s="38"/>
      <c r="B19" s="38"/>
      <c r="C19" s="38"/>
      <c r="D19" s="38"/>
      <c r="E19" s="38"/>
      <c r="F19" s="38"/>
      <c r="G19" s="38"/>
      <c r="H19" s="38"/>
      <c r="I19" s="38"/>
      <c r="J19" s="38"/>
    </row>
    <row r="20" spans="1:10">
      <c r="A20" s="8" t="s">
        <v>8</v>
      </c>
      <c r="B20" s="8" t="s">
        <v>70</v>
      </c>
      <c r="C20" s="8" t="s">
        <v>71</v>
      </c>
      <c r="D20" s="8" t="s">
        <v>513</v>
      </c>
      <c r="E20" s="8" t="s">
        <v>514</v>
      </c>
      <c r="F20" s="8" t="s">
        <v>73</v>
      </c>
      <c r="G20" s="8" t="s">
        <v>74</v>
      </c>
      <c r="H20" s="8" t="s">
        <v>75</v>
      </c>
      <c r="I20" s="8" t="s">
        <v>515</v>
      </c>
      <c r="J20" s="8" t="s">
        <v>516</v>
      </c>
    </row>
    <row r="21" spans="1:10" ht="42.75">
      <c r="A21" s="9">
        <v>1</v>
      </c>
      <c r="B21" s="10" t="str">
        <f>VLOOKUP($L$4&amp;"_"&amp;$A21, Khung_KeHoach_Chuan!$A$11:$J$91, 4, FALSE)</f>
        <v>I. ĐỊNH HƯỚNG &amp; PHƯƠNG PHÁP LUẬN</v>
      </c>
      <c r="C21" s="17" t="str">
        <f>VLOOKUP($L$4&amp;"_"&amp;$A21, Khung_KeHoach_Chuan!$A$11:$J$91, 5, FALSE)</f>
        <v>Xác định bài toán mạng &amp; mục tiêu dự án SDN/SD-WAN</v>
      </c>
      <c r="D21" s="33" t="str">
        <f>VLOOKUP($L$4&amp;"_"&amp;$A21, Khung_KeHoach_Chuan!$A$11:$J$91, 6, FALSE)</f>
        <v>Vấn đề mạng cần giải quyết (định tuyến, QoS, giám sát, bảo mật...); phạm vi topology thử nghiệm</v>
      </c>
      <c r="E21" s="35" t="s">
        <v>657</v>
      </c>
      <c r="F21" s="11" t="str">
        <f>VLOOKUP($L$4&amp;"_"&amp;$A21, Khung_KeHoach_Chuan!$A$11:$J$91, 7, FALSE)</f>
        <v>2026-08-24</v>
      </c>
      <c r="G21" s="11" t="str">
        <f>VLOOKUP($L$4&amp;"_"&amp;$A21, Khung_KeHoach_Chuan!$A$11:$J$91, 8, FALSE)</f>
        <v>2026-08-28</v>
      </c>
      <c r="H21" s="10" t="str">
        <f>VLOOKUP($L$4&amp;"_"&amp;$A21, Khung_KeHoach_Chuan!$A$11:$J$91, 9, FALSE)</f>
        <v>Tuyên bố bài toán + Phạm vi triển khai SDN/SD-WAN v1</v>
      </c>
      <c r="I21" s="11" t="s">
        <v>517</v>
      </c>
      <c r="J21" s="10" t="s">
        <v>658</v>
      </c>
    </row>
    <row r="22" spans="1:10" ht="42.75">
      <c r="A22" s="13">
        <v>2</v>
      </c>
      <c r="B22" s="14" t="str">
        <f>VLOOKUP($L$4&amp;"_"&amp;$A22, Khung_KeHoach_Chuan!$A$11:$J$91, 4, FALSE)</f>
        <v>I. ĐỊNH HƯỚNG &amp; PHƯƠNG PHÁP LUẬN</v>
      </c>
      <c r="C22" s="16" t="str">
        <f>VLOOKUP($L$4&amp;"_"&amp;$A22, Khung_KeHoach_Chuan!$A$11:$J$91, 5, FALSE)</f>
        <v>Khảo sát kiến trúc SDN/SD-WAN &amp; giải pháp liên quan</v>
      </c>
      <c r="D22" s="32" t="str">
        <f>VLOOKUP($L$4&amp;"_"&amp;$A22, Khung_KeHoach_Chuan!$A$11:$J$91, 6, FALSE)</f>
        <v>Kiến trúc SDN (control/data plane, OpenFlow), nền tảng SD-WAN thương mại/mã nguồn mở</v>
      </c>
      <c r="E22" s="35" t="s">
        <v>659</v>
      </c>
      <c r="F22" s="15" t="str">
        <f>VLOOKUP($L$4&amp;"_"&amp;$A22, Khung_KeHoach_Chuan!$A$11:$J$91, 7, FALSE)</f>
        <v>2026-08-24</v>
      </c>
      <c r="G22" s="15" t="str">
        <f>VLOOKUP($L$4&amp;"_"&amp;$A22, Khung_KeHoach_Chuan!$A$11:$J$91, 8, FALSE)</f>
        <v>2026-09-02</v>
      </c>
      <c r="H22" s="14" t="str">
        <f>VLOOKUP($L$4&amp;"_"&amp;$A22, Khung_KeHoach_Chuan!$A$11:$J$91, 9, FALSE)</f>
        <v>Bảng khảo sát Related Work + So sánh giải pháp SDN/SD-WAN hiện có</v>
      </c>
      <c r="I22" s="15" t="s">
        <v>517</v>
      </c>
      <c r="J22" s="14" t="s">
        <v>660</v>
      </c>
    </row>
    <row r="23" spans="1:10" ht="42.75">
      <c r="A23" s="9">
        <v>3</v>
      </c>
      <c r="B23" s="10" t="str">
        <f>VLOOKUP($L$4&amp;"_"&amp;$A23, Khung_KeHoach_Chuan!$A$11:$J$91, 4, FALSE)</f>
        <v>I. ĐỊNH HƯỚNG &amp; PHƯƠNG PHÁP LUẬN</v>
      </c>
      <c r="C23" s="17" t="str">
        <f>VLOOKUP($L$4&amp;"_"&amp;$A23, Khung_KeHoach_Chuan!$A$11:$J$91, 5, FALSE)</f>
        <v>Chọn SDN controller, công cụ mô phỏng &amp; kiến trúc hệ thống</v>
      </c>
      <c r="D23" s="33" t="str">
        <f>VLOOKUP($L$4&amp;"_"&amp;$A23, Khung_KeHoach_Chuan!$A$11:$J$91, 6, FALSE)</f>
        <v>Controller (ONOS/Ryu/OpenDaylight), công cụ mô phỏng (Mininet/Containerlab/GNS3), giao thức điều khiển</v>
      </c>
      <c r="E23" s="35" t="s">
        <v>661</v>
      </c>
      <c r="F23" s="11" t="str">
        <f>VLOOKUP($L$4&amp;"_"&amp;$A23, Khung_KeHoach_Chuan!$A$11:$J$91, 7, FALSE)</f>
        <v>2026-08-28</v>
      </c>
      <c r="G23" s="11" t="str">
        <f>VLOOKUP($L$4&amp;"_"&amp;$A23, Khung_KeHoach_Chuan!$A$11:$J$91, 8, FALSE)</f>
        <v>2026-09-05</v>
      </c>
      <c r="H23" s="10" t="str">
        <f>VLOOKUP($L$4&amp;"_"&amp;$A23, Khung_KeHoach_Chuan!$A$11:$J$91, 9, FALSE)</f>
        <v>Sơ đồ kiến trúc tổng thể mạng + Tech stack specification</v>
      </c>
      <c r="I23" s="11" t="s">
        <v>517</v>
      </c>
      <c r="J23" s="10" t="s">
        <v>658</v>
      </c>
    </row>
    <row r="24" spans="1:10" ht="42.75">
      <c r="A24" s="13">
        <v>4</v>
      </c>
      <c r="B24" s="14" t="str">
        <f>VLOOKUP($L$4&amp;"_"&amp;$A24, Khung_KeHoach_Chuan!$A$11:$J$91, 4, FALSE)</f>
        <v>I. ĐỊNH HƯỚNG &amp; PHƯƠNG PHÁP LUẬN</v>
      </c>
      <c r="C24" s="16" t="str">
        <f>VLOOKUP($L$4&amp;"_"&amp;$A24, Khung_KeHoach_Chuan!$A$11:$J$91, 5, FALSE)</f>
        <v>Lập kế hoạch công việc, phân công &amp; quản trị rủi ro</v>
      </c>
      <c r="D24" s="32" t="str">
        <f>VLOOKUP($L$4&amp;"_"&amp;$A24, Khung_KeHoach_Chuan!$A$11:$J$91, 6, FALSE)</f>
        <v>WBS: dựng testbed, lập trình controller, kiểm thử định tuyến; Git repo &amp; quy ước làm việc</v>
      </c>
      <c r="E24" s="35" t="s">
        <v>662</v>
      </c>
      <c r="F24" s="15" t="str">
        <f>VLOOKUP($L$4&amp;"_"&amp;$A24, Khung_KeHoach_Chuan!$A$11:$J$91, 7, FALSE)</f>
        <v>2026-08-30</v>
      </c>
      <c r="G24" s="15" t="str">
        <f>VLOOKUP($L$4&amp;"_"&amp;$A24, Khung_KeHoach_Chuan!$A$11:$J$91, 8, FALSE)</f>
        <v>2026-09-05</v>
      </c>
      <c r="H24" s="14" t="str">
        <f>VLOOKUP($L$4&amp;"_"&amp;$A24, Khung_KeHoach_Chuan!$A$11:$J$91, 9, FALSE)</f>
        <v>WBS Backlog + Git repo setup + Quy ước làm việc</v>
      </c>
      <c r="I24" s="15" t="s">
        <v>517</v>
      </c>
      <c r="J24" s="14" t="s">
        <v>660</v>
      </c>
    </row>
    <row r="25" spans="1:10" ht="28.5">
      <c r="A25" s="9">
        <v>5</v>
      </c>
      <c r="B25" s="10" t="str">
        <f>VLOOKUP($L$4&amp;"_"&amp;$A25, Khung_KeHoach_Chuan!$A$11:$J$91, 4, FALSE)</f>
        <v>II. THIẾT KẾ &amp; CHUẨN BỊ</v>
      </c>
      <c r="C25" s="17" t="str">
        <f>VLOOKUP($L$4&amp;"_"&amp;$A25, Khung_KeHoach_Chuan!$A$11:$J$91, 5, FALSE)</f>
        <v>Thiết kế topology mạng thử nghiệm &amp; luồng điều khiển</v>
      </c>
      <c r="D25" s="33" t="str">
        <f>VLOOKUP($L$4&amp;"_"&amp;$A25, Khung_KeHoach_Chuan!$A$11:$J$91, 6, FALSE)</f>
        <v>Sơ đồ topology SDN/SD-WAN, luồng traffic, cơ chế trao đổi control plane - data plane</v>
      </c>
      <c r="E25" s="35" t="s">
        <v>663</v>
      </c>
      <c r="F25" s="11" t="str">
        <f>VLOOKUP($L$4&amp;"_"&amp;$A25, Khung_KeHoach_Chuan!$A$11:$J$91, 7, FALSE)</f>
        <v>2026-09-06</v>
      </c>
      <c r="G25" s="11" t="str">
        <f>VLOOKUP($L$4&amp;"_"&amp;$A25, Khung_KeHoach_Chuan!$A$11:$J$91, 8, FALSE)</f>
        <v>2026-09-12</v>
      </c>
      <c r="H25" s="10" t="str">
        <f>VLOOKUP($L$4&amp;"_"&amp;$A25, Khung_KeHoach_Chuan!$A$11:$J$91, 9, FALSE)</f>
        <v>Sơ đồ topology mạng + Thiết kế luồng điều khiển v1</v>
      </c>
      <c r="I25" s="11" t="s">
        <v>517</v>
      </c>
      <c r="J25" s="10" t="s">
        <v>660</v>
      </c>
    </row>
    <row r="26" spans="1:10" ht="42.75">
      <c r="A26" s="13">
        <v>6</v>
      </c>
      <c r="B26" s="14" t="str">
        <f>VLOOKUP($L$4&amp;"_"&amp;$A26, Khung_KeHoach_Chuan!$A$11:$J$91, 4, FALSE)</f>
        <v>II. THIẾT KẾ &amp; CHUẨN BỊ</v>
      </c>
      <c r="C26" s="16" t="str">
        <f>VLOOKUP($L$4&amp;"_"&amp;$A26, Khung_KeHoach_Chuan!$A$11:$J$91, 5, FALSE)</f>
        <v>Chuẩn bị testbed, controller &amp; công cụ giám sát mạng</v>
      </c>
      <c r="D26" s="32" t="str">
        <f>VLOOKUP($L$4&amp;"_"&amp;$A26, Khung_KeHoach_Chuan!$A$11:$J$91, 6, FALSE)</f>
        <v>Cài đặt Mininet/Containerlab + controller, công cụ sinh traffic (iperf/hping3), giám sát (Wireshark)</v>
      </c>
      <c r="E26" s="35" t="s">
        <v>664</v>
      </c>
      <c r="F26" s="15" t="str">
        <f>VLOOKUP($L$4&amp;"_"&amp;$A26, Khung_KeHoach_Chuan!$A$11:$J$91, 7, FALSE)</f>
        <v>2026-09-06</v>
      </c>
      <c r="G26" s="15" t="str">
        <f>VLOOKUP($L$4&amp;"_"&amp;$A26, Khung_KeHoach_Chuan!$A$11:$J$91, 8, FALSE)</f>
        <v>2026-09-12</v>
      </c>
      <c r="H26" s="14" t="str">
        <f>VLOOKUP($L$4&amp;"_"&amp;$A26, Khung_KeHoach_Chuan!$A$11:$J$91, 9, FALSE)</f>
        <v>Testbed SDN/SD-WAN hoàn chỉnh + Công cụ giám sát</v>
      </c>
      <c r="I26" s="15" t="s">
        <v>517</v>
      </c>
      <c r="J26" s="14" t="s">
        <v>658</v>
      </c>
    </row>
    <row r="27" spans="1:10" ht="28.5">
      <c r="A27" s="9">
        <v>7</v>
      </c>
      <c r="B27" s="10" t="str">
        <f>VLOOKUP($L$4&amp;"_"&amp;$A27, Khung_KeHoach_Chuan!$A$11:$J$91, 4, FALSE)</f>
        <v>II. THIẾT KẾ &amp; CHUẨN BỊ</v>
      </c>
      <c r="C27" s="17" t="str">
        <f>VLOOKUP($L$4&amp;"_"&amp;$A27, Khung_KeHoach_Chuan!$A$11:$J$91, 5, FALSE)</f>
        <v>Xây dựng kế hoạch kiểm thử &amp; tiêu chí nghiệm thu</v>
      </c>
      <c r="D27" s="33" t="str">
        <f>VLOOKUP($L$4&amp;"_"&amp;$A27, Khung_KeHoach_Chuan!$A$11:$J$91, 6, FALSE)</f>
        <v>Test plan, kịch bản định tuyến/failover, tiêu chí đánh giá (Latency, Throughput, Packet Loss)</v>
      </c>
      <c r="E27" s="35" t="s">
        <v>665</v>
      </c>
      <c r="F27" s="11" t="str">
        <f>VLOOKUP($L$4&amp;"_"&amp;$A27, Khung_KeHoach_Chuan!$A$11:$J$91, 7, FALSE)</f>
        <v>2026-09-13</v>
      </c>
      <c r="G27" s="11" t="str">
        <f>VLOOKUP($L$4&amp;"_"&amp;$A27, Khung_KeHoach_Chuan!$A$11:$J$91, 8, FALSE)</f>
        <v>2026-09-19</v>
      </c>
      <c r="H27" s="10" t="str">
        <f>VLOOKUP($L$4&amp;"_"&amp;$A27, Khung_KeHoach_Chuan!$A$11:$J$91, 9, FALSE)</f>
        <v>Test plan + Bộ tiêu chí đánh giá + Baseline metrics</v>
      </c>
      <c r="I27" s="11" t="s">
        <v>517</v>
      </c>
      <c r="J27" s="10" t="s">
        <v>666</v>
      </c>
    </row>
    <row r="28" spans="1:10" ht="54" customHeight="1">
      <c r="A28" s="13">
        <v>8</v>
      </c>
      <c r="B28" s="14" t="str">
        <f>VLOOKUP($L$4&amp;"_"&amp;$A28, Khung_KeHoach_Chuan!$A$11:$J$91, 4, FALSE)</f>
        <v>II. THIẾT KẾ &amp; CHUẨN BỊ</v>
      </c>
      <c r="C28" s="16" t="str">
        <f>VLOOKUP($L$4&amp;"_"&amp;$A28, Khung_KeHoach_Chuan!$A$11:$J$91, 5, FALSE)</f>
        <v>Làm Proof of Concept (PoC): điều khiển định tuyến cơ bản qua controller</v>
      </c>
      <c r="D28" s="32" t="str">
        <f>VLOOKUP($L$4&amp;"_"&amp;$A28, Khung_KeHoach_Chuan!$A$11:$J$91, 6, FALSE)</f>
        <v>Cấu hình flow rules cơ bản, kiểm tra khả năng điều khiển luồng traffic qua controller</v>
      </c>
      <c r="E28" s="35" t="s">
        <v>667</v>
      </c>
      <c r="F28" s="15" t="str">
        <f>VLOOKUP($L$4&amp;"_"&amp;$A28, Khung_KeHoach_Chuan!$A$11:$J$91, 7, FALSE)</f>
        <v>2026-09-13</v>
      </c>
      <c r="G28" s="15" t="str">
        <f>VLOOKUP($L$4&amp;"_"&amp;$A28, Khung_KeHoach_Chuan!$A$11:$J$91, 8, FALSE)</f>
        <v>2026-09-19</v>
      </c>
      <c r="H28" s="14" t="str">
        <f>VLOOKUP($L$4&amp;"_"&amp;$A28, Khung_KeHoach_Chuan!$A$11:$J$91, 9, FALSE)</f>
        <v>Bản demo PoC điều khiển SDN chạy được + Báo cáo rủi ro kỹ thuật</v>
      </c>
      <c r="I28" s="15" t="s">
        <v>517</v>
      </c>
      <c r="J28" s="14" t="s">
        <v>660</v>
      </c>
    </row>
    <row r="29" spans="1:10" ht="42.75">
      <c r="A29" s="9">
        <v>9</v>
      </c>
      <c r="B29" s="10" t="str">
        <f>VLOOKUP($L$4&amp;"_"&amp;$A29, Khung_KeHoach_Chuan!$A$11:$J$91, 4, FALSE)</f>
        <v>III. TRIỂN KHAI / THỰC NGHIỆM</v>
      </c>
      <c r="C29" s="17" t="str">
        <f>VLOOKUP($L$4&amp;"_"&amp;$A29, Khung_KeHoach_Chuan!$A$11:$J$91, 5, FALSE)</f>
        <v>Xây dựng phiên bản MVP: hệ thống SDN/SD-WAN vận hành cơ bản</v>
      </c>
      <c r="D29" s="33" t="str">
        <f>VLOOKUP($L$4&amp;"_"&amp;$A29, Khung_KeHoach_Chuan!$A$11:$J$91, 6, FALSE)</f>
        <v>Hoàn thành luồng điều khiển - định tuyến - giám sát cơ bản trên toàn bộ topology</v>
      </c>
      <c r="E29" s="35" t="s">
        <v>668</v>
      </c>
      <c r="F29" s="11" t="str">
        <f>VLOOKUP($L$4&amp;"_"&amp;$A29, Khung_KeHoach_Chuan!$A$11:$J$91, 7, FALSE)</f>
        <v>2026-09-20</v>
      </c>
      <c r="G29" s="11" t="str">
        <f>VLOOKUP($L$4&amp;"_"&amp;$A29, Khung_KeHoach_Chuan!$A$11:$J$91, 8, FALSE)</f>
        <v>2026-09-26</v>
      </c>
      <c r="H29" s="10" t="str">
        <f>VLOOKUP($L$4&amp;"_"&amp;$A29, Khung_KeHoach_Chuan!$A$11:$J$91, 9, FALSE)</f>
        <v>Bản MVP: hệ thống SDN/SD-WAN chạy thông luồng cơ bản</v>
      </c>
      <c r="I29" s="11" t="s">
        <v>517</v>
      </c>
      <c r="J29" s="10" t="s">
        <v>658</v>
      </c>
    </row>
    <row r="30" spans="1:10" ht="28.5">
      <c r="A30" s="19">
        <v>10</v>
      </c>
      <c r="B30" s="21" t="str">
        <f>VLOOKUP($L$4&amp;"_"&amp;$A30, Khung_KeHoach_Chuan!$A$11:$J$91, 4, FALSE)</f>
        <v>III. TRIỂN KHAI / THỰC NGHIỆM</v>
      </c>
      <c r="C30" s="31" t="str">
        <f>VLOOKUP($L$4&amp;"_"&amp;$A30, Khung_KeHoach_Chuan!$A$11:$J$91, 5, FALSE)</f>
        <v>NỘP BÁO CÁO TIẾN ĐỘ GIỮA KỲ (MỐC KHOA)</v>
      </c>
      <c r="D30" s="34" t="str">
        <f>VLOOKUP($L$4&amp;"_"&amp;$A30, Khung_KeHoach_Chuan!$A$11:$J$91, 6, FALSE)</f>
        <v>Tổng hợp tiến độ thực hiện, nộp phiếu theo dõi có chữ ký GVHD</v>
      </c>
      <c r="E30" s="35" t="s">
        <v>669</v>
      </c>
      <c r="F30" s="20" t="str">
        <f>VLOOKUP($L$4&amp;"_"&amp;$A30, Khung_KeHoach_Chuan!$A$11:$J$91, 7, FALSE)</f>
        <v>2026-09-20</v>
      </c>
      <c r="G30" s="20" t="str">
        <f>VLOOKUP($L$4&amp;"_"&amp;$A30, Khung_KeHoach_Chuan!$A$11:$J$91, 8, FALSE)</f>
        <v>2026-10-04</v>
      </c>
      <c r="H30" s="21" t="str">
        <f>VLOOKUP($L$4&amp;"_"&amp;$A30, Khung_KeHoach_Chuan!$A$11:$J$91, 9, FALSE)</f>
        <v>Phiếu theo dõi có chữ ký GVHD + Báo cáo giữa kỳ ELIT</v>
      </c>
      <c r="I30" s="20" t="s">
        <v>529</v>
      </c>
      <c r="J30" s="21" t="s">
        <v>658</v>
      </c>
    </row>
    <row r="31" spans="1:10" ht="28.5">
      <c r="A31" s="9">
        <v>11</v>
      </c>
      <c r="B31" s="10" t="str">
        <f>VLOOKUP($L$4&amp;"_"&amp;$A31, Khung_KeHoach_Chuan!$A$11:$J$91, 4, FALSE)</f>
        <v>III. TRIỂN KHAI / THỰC NGHIỆM</v>
      </c>
      <c r="C31" s="17" t="str">
        <f>VLOOKUP($L$4&amp;"_"&amp;$A31, Khung_KeHoach_Chuan!$A$11:$J$91, 5, FALSE)</f>
        <v>Phát triển hoàn thiện module định tuyến &amp; chính sách điều khiển</v>
      </c>
      <c r="D31" s="33" t="str">
        <f>VLOOKUP($L$4&amp;"_"&amp;$A31, Khung_KeHoach_Chuan!$A$11:$J$91, 6, FALSE)</f>
        <v>Lập trình logic định tuyến động, chính sách QoS/ưu tiên traffic, xử lý sự kiện mạng</v>
      </c>
      <c r="E31" s="35"/>
      <c r="F31" s="11" t="str">
        <f>VLOOKUP($L$4&amp;"_"&amp;$A31, Khung_KeHoach_Chuan!$A$11:$J$91, 7, FALSE)</f>
        <v>2026-10-05</v>
      </c>
      <c r="G31" s="11" t="str">
        <f>VLOOKUP($L$4&amp;"_"&amp;$A31, Khung_KeHoach_Chuan!$A$11:$J$91, 8, FALSE)</f>
        <v>2026-10-18</v>
      </c>
      <c r="H31" s="10" t="str">
        <f>VLOOKUP($L$4&amp;"_"&amp;$A31, Khung_KeHoach_Chuan!$A$11:$J$91, 9, FALSE)</f>
        <v>Module định tuyến &amp; chính sách điều khiển hoàn chỉnh trên Git</v>
      </c>
      <c r="I31" s="11" t="s">
        <v>518</v>
      </c>
      <c r="J31" s="10"/>
    </row>
    <row r="32" spans="1:10" ht="28.5">
      <c r="A32" s="13">
        <v>12</v>
      </c>
      <c r="B32" s="14" t="str">
        <f>VLOOKUP($L$4&amp;"_"&amp;$A32, Khung_KeHoach_Chuan!$A$11:$J$91, 4, FALSE)</f>
        <v>III. TRIỂN KHAI / THỰC NGHIỆM</v>
      </c>
      <c r="C32" s="16" t="str">
        <f>VLOOKUP($L$4&amp;"_"&amp;$A32, Khung_KeHoach_Chuan!$A$11:$J$91, 5, FALSE)</f>
        <v>Tích hợp toàn bộ hệ thống &amp; đồng bộ cấu hình mạng</v>
      </c>
      <c r="D32" s="32" t="str">
        <f>VLOOKUP($L$4&amp;"_"&amp;$A32, Khung_KeHoach_Chuan!$A$11:$J$91, 6, FALSE)</f>
        <v>Kết nối controller-switch-orchestrator, đồng bộ cấu hình giữa các site SD-WAN</v>
      </c>
      <c r="E32" s="35"/>
      <c r="F32" s="15" t="str">
        <f>VLOOKUP($L$4&amp;"_"&amp;$A32, Khung_KeHoach_Chuan!$A$11:$J$91, 7, FALSE)</f>
        <v>2026-10-19</v>
      </c>
      <c r="G32" s="15" t="str">
        <f>VLOOKUP($L$4&amp;"_"&amp;$A32, Khung_KeHoach_Chuan!$A$11:$J$91, 8, FALSE)</f>
        <v>2026-10-25</v>
      </c>
      <c r="H32" s="14" t="str">
        <f>VLOOKUP($L$4&amp;"_"&amp;$A32, Khung_KeHoach_Chuan!$A$11:$J$91, 9, FALSE)</f>
        <v>Hệ thống tích hợp hoàn chỉnh (Full System Build)</v>
      </c>
      <c r="I32" s="15" t="s">
        <v>518</v>
      </c>
      <c r="J32" s="14"/>
    </row>
    <row r="33" spans="1:10" ht="28.5">
      <c r="A33" s="9">
        <v>13</v>
      </c>
      <c r="B33" s="10" t="str">
        <f>VLOOKUP($L$4&amp;"_"&amp;$A33, Khung_KeHoach_Chuan!$A$11:$J$91, 4, FALSE)</f>
        <v>III. TRIỂN KHAI / THỰC NGHIỆM</v>
      </c>
      <c r="C33" s="17" t="str">
        <f>VLOOKUP($L$4&amp;"_"&amp;$A33, Khung_KeHoach_Chuan!$A$11:$J$91, 5, FALSE)</f>
        <v>Duy trì Technical Log, Commit history &amp; Bằng chứng</v>
      </c>
      <c r="D33" s="33" t="str">
        <f>VLOOKUP($L$4&amp;"_"&amp;$A33, Khung_KeHoach_Chuan!$A$11:$J$91, 6, FALSE)</f>
        <v>Ghi log cấu hình controller, thay đổi flow rules, biên bản họp định kỳ với GVHD</v>
      </c>
      <c r="E33" s="35"/>
      <c r="F33" s="11" t="str">
        <f>VLOOKUP($L$4&amp;"_"&amp;$A33, Khung_KeHoach_Chuan!$A$11:$J$91, 7, FALSE)</f>
        <v>2026-09-20</v>
      </c>
      <c r="G33" s="11" t="str">
        <f>VLOOKUP($L$4&amp;"_"&amp;$A33, Khung_KeHoach_Chuan!$A$11:$J$91, 8, FALSE)</f>
        <v>2026-10-31</v>
      </c>
      <c r="H33" s="10" t="str">
        <f>VLOOKUP($L$4&amp;"_"&amp;$A33, Khung_KeHoach_Chuan!$A$11:$J$91, 9, FALSE)</f>
        <v>Thư mục Evidence + Git commit log chuẩn quy cách</v>
      </c>
      <c r="I33" s="11" t="s">
        <v>518</v>
      </c>
      <c r="J33" s="10"/>
    </row>
    <row r="34" spans="1:10" ht="28.5">
      <c r="A34" s="13">
        <v>14</v>
      </c>
      <c r="B34" s="14" t="str">
        <f>VLOOKUP($L$4&amp;"_"&amp;$A34, Khung_KeHoach_Chuan!$A$11:$J$91, 4, FALSE)</f>
        <v>IV. KIỂM THỬ &amp; ĐÁNH GIÁ</v>
      </c>
      <c r="C34" s="16" t="str">
        <f>VLOOKUP($L$4&amp;"_"&amp;$A34, Khung_KeHoach_Chuan!$A$11:$J$91, 5, FALSE)</f>
        <v>Thực thi kiểm thử chức năng hệ thống SDN/SD-WAN</v>
      </c>
      <c r="D34" s="32" t="str">
        <f>VLOOKUP($L$4&amp;"_"&amp;$A34, Khung_KeHoach_Chuan!$A$11:$J$91, 6, FALSE)</f>
        <v>Kiểm tra định tuyến, failover, chính sách QoS, khả năng phản hồi controller</v>
      </c>
      <c r="E34" s="35"/>
      <c r="F34" s="15" t="str">
        <f>VLOOKUP($L$4&amp;"_"&amp;$A34, Khung_KeHoach_Chuan!$A$11:$J$91, 7, FALSE)</f>
        <v>2026-10-26</v>
      </c>
      <c r="G34" s="15" t="str">
        <f>VLOOKUP($L$4&amp;"_"&amp;$A34, Khung_KeHoach_Chuan!$A$11:$J$91, 8, FALSE)</f>
        <v>2026-11-01</v>
      </c>
      <c r="H34" s="14" t="str">
        <f>VLOOKUP($L$4&amp;"_"&amp;$A34, Khung_KeHoach_Chuan!$A$11:$J$91, 9, FALSE)</f>
        <v>Bảng kết quả test chi tiết + Danh sách lỗi đã xử lý</v>
      </c>
      <c r="I34" s="15" t="s">
        <v>518</v>
      </c>
      <c r="J34" s="14"/>
    </row>
    <row r="35" spans="1:10" ht="28.5">
      <c r="A35" s="9">
        <v>15</v>
      </c>
      <c r="B35" s="10" t="str">
        <f>VLOOKUP($L$4&amp;"_"&amp;$A35, Khung_KeHoach_Chuan!$A$11:$J$91, 4, FALSE)</f>
        <v>IV. KIỂM THỬ &amp; ĐÁNH GIÁ</v>
      </c>
      <c r="C35" s="17" t="str">
        <f>VLOOKUP($L$4&amp;"_"&amp;$A35, Khung_KeHoach_Chuan!$A$11:$J$91, 5, FALSE)</f>
        <v>Kiểm thử hiệu năng, độ trễ &amp; khả năng mở rộng hệ thống</v>
      </c>
      <c r="D35" s="33" t="str">
        <f>VLOOKUP($L$4&amp;"_"&amp;$A35, Khung_KeHoach_Chuan!$A$11:$J$91, 6, FALSE)</f>
        <v>Đo độ trễ xử lý (latency), thông lượng (throughput), khả năng chịu tải</v>
      </c>
      <c r="E35" s="35"/>
      <c r="F35" s="11" t="str">
        <f>VLOOKUP($L$4&amp;"_"&amp;$A35, Khung_KeHoach_Chuan!$A$11:$J$91, 7, FALSE)</f>
        <v>2026-11-02</v>
      </c>
      <c r="G35" s="11" t="str">
        <f>VLOOKUP($L$4&amp;"_"&amp;$A35, Khung_KeHoach_Chuan!$A$11:$J$91, 8, FALSE)</f>
        <v>2026-11-08</v>
      </c>
      <c r="H35" s="10" t="str">
        <f>VLOOKUP($L$4&amp;"_"&amp;$A35, Khung_KeHoach_Chuan!$A$11:$J$91, 9, FALSE)</f>
        <v>Báo cáo Performance &amp; Scalability testing</v>
      </c>
      <c r="I35" s="11" t="s">
        <v>518</v>
      </c>
      <c r="J35" s="10"/>
    </row>
    <row r="36" spans="1:10" ht="28.5">
      <c r="A36" s="13">
        <v>16</v>
      </c>
      <c r="B36" s="14" t="str">
        <f>VLOOKUP($L$4&amp;"_"&amp;$A36, Khung_KeHoach_Chuan!$A$11:$J$91, 4, FALSE)</f>
        <v>IV. KIỂM THỬ &amp; ĐÁNH GIÁ</v>
      </c>
      <c r="C36" s="16" t="str">
        <f>VLOOKUP($L$4&amp;"_"&amp;$A36, Khung_KeHoach_Chuan!$A$11:$J$91, 5, FALSE)</f>
        <v>Tổng hợp số liệu thực nghiệm &amp; biểu đồ đánh giá hệ thống</v>
      </c>
      <c r="D36" s="32" t="str">
        <f>VLOOKUP($L$4&amp;"_"&amp;$A36, Khung_KeHoach_Chuan!$A$11:$J$91, 6, FALSE)</f>
        <v>Độ trễ định tuyến, thông lượng, tỷ lệ mất gói, so sánh trước/sau khi áp dụng SDN</v>
      </c>
      <c r="E36" s="35"/>
      <c r="F36" s="15" t="str">
        <f>VLOOKUP($L$4&amp;"_"&amp;$A36, Khung_KeHoach_Chuan!$A$11:$J$91, 7, FALSE)</f>
        <v>2026-11-09</v>
      </c>
      <c r="G36" s="15" t="str">
        <f>VLOOKUP($L$4&amp;"_"&amp;$A36, Khung_KeHoach_Chuan!$A$11:$J$91, 8, FALSE)</f>
        <v>2026-11-15</v>
      </c>
      <c r="H36" s="14" t="str">
        <f>VLOOKUP($L$4&amp;"_"&amp;$A36, Khung_KeHoach_Chuan!$A$11:$J$91, 9, FALSE)</f>
        <v>Bộ biểu đồ kết quả + Bảng so sánh hiệu quả mạng truyền thống và SDN</v>
      </c>
      <c r="I36" s="15" t="s">
        <v>518</v>
      </c>
      <c r="J36" s="14"/>
    </row>
    <row r="37" spans="1:10" ht="28.5">
      <c r="A37" s="9">
        <v>17</v>
      </c>
      <c r="B37" s="10" t="str">
        <f>VLOOKUP($L$4&amp;"_"&amp;$A37, Khung_KeHoach_Chuan!$A$11:$J$91, 4, FALSE)</f>
        <v>IV. KIỂM THỬ &amp; ĐÁNH GIÁ</v>
      </c>
      <c r="C37" s="17" t="str">
        <f>VLOOKUP($L$4&amp;"_"&amp;$A37, Khung_KeHoach_Chuan!$A$11:$J$91, 5, FALSE)</f>
        <v>Đánh giá đạt mục tiêu &amp; ghi nhận hạn chế</v>
      </c>
      <c r="D37" s="33" t="str">
        <f>VLOOKUP($L$4&amp;"_"&amp;$A37, Khung_KeHoach_Chuan!$A$11:$J$91, 6, FALSE)</f>
        <v>Đối chiếu mục tiêu ban đầu, chỉ ra hạn chế &amp; đề xuất hướng cải tiến</v>
      </c>
      <c r="E37" s="35"/>
      <c r="F37" s="11" t="str">
        <f>VLOOKUP($L$4&amp;"_"&amp;$A37, Khung_KeHoach_Chuan!$A$11:$J$91, 7, FALSE)</f>
        <v>2026-11-12</v>
      </c>
      <c r="G37" s="11" t="str">
        <f>VLOOKUP($L$4&amp;"_"&amp;$A37, Khung_KeHoach_Chuan!$A$11:$J$91, 8, FALSE)</f>
        <v>2026-11-18</v>
      </c>
      <c r="H37" s="10" t="str">
        <f>VLOOKUP($L$4&amp;"_"&amp;$A37, Khung_KeHoach_Chuan!$A$11:$J$91, 9, FALSE)</f>
        <v>Bảng đối chiếu mục tiêu - kết quả đạt được</v>
      </c>
      <c r="I37" s="11" t="s">
        <v>518</v>
      </c>
      <c r="J37" s="10"/>
    </row>
    <row r="38" spans="1:10" ht="28.5">
      <c r="A38" s="13">
        <v>18</v>
      </c>
      <c r="B38" s="14" t="str">
        <f>VLOOKUP($L$4&amp;"_"&amp;$A38, Khung_KeHoach_Chuan!$A$11:$J$91, 4, FALSE)</f>
        <v>V. VIẾT &amp; HOÀN THIỆN BÁO CÁO</v>
      </c>
      <c r="C38" s="16" t="str">
        <f>VLOOKUP($L$4&amp;"_"&amp;$A38, Khung_KeHoach_Chuan!$A$11:$J$91, 5, FALSE)</f>
        <v>Xây dựng dàn ý &amp; viết chương mở đầu, cơ sở lý thuyết</v>
      </c>
      <c r="D38" s="32" t="str">
        <f>VLOOKUP($L$4&amp;"_"&amp;$A38, Khung_KeHoach_Chuan!$A$11:$J$91, 6, FALSE)</f>
        <v>Tổng quan SDN/SD-WAN, cơ sở lý thuyết định tuyến/điều khiển mạng, phát biểu bài toán</v>
      </c>
      <c r="E38" s="35"/>
      <c r="F38" s="15" t="str">
        <f>VLOOKUP($L$4&amp;"_"&amp;$A38, Khung_KeHoach_Chuan!$A$11:$J$91, 7, FALSE)</f>
        <v>2026-10-26</v>
      </c>
      <c r="G38" s="15" t="str">
        <f>VLOOKUP($L$4&amp;"_"&amp;$A38, Khung_KeHoach_Chuan!$A$11:$J$91, 8, FALSE)</f>
        <v>2026-11-08</v>
      </c>
      <c r="H38" s="14" t="str">
        <f>VLOOKUP($L$4&amp;"_"&amp;$A38, Khung_KeHoach_Chuan!$A$11:$J$91, 9, FALSE)</f>
        <v>Bản thảo Chương 1, 2, 3 hoàn chỉnh</v>
      </c>
      <c r="I38" s="15" t="s">
        <v>518</v>
      </c>
      <c r="J38" s="14"/>
    </row>
    <row r="39" spans="1:10" ht="28.5">
      <c r="A39" s="9">
        <v>19</v>
      </c>
      <c r="B39" s="10" t="str">
        <f>VLOOKUP($L$4&amp;"_"&amp;$A39, Khung_KeHoach_Chuan!$A$11:$J$91, 4, FALSE)</f>
        <v>V. VIẾT &amp; HOÀN THIỆN BÁO CÁO</v>
      </c>
      <c r="C39" s="17" t="str">
        <f>VLOOKUP($L$4&amp;"_"&amp;$A39, Khung_KeHoach_Chuan!$A$11:$J$91, 5, FALSE)</f>
        <v>Viết chương thiết kế hệ thống, triển khai &amp; kết quả thực nghiệm</v>
      </c>
      <c r="D39" s="33" t="str">
        <f>VLOOKUP($L$4&amp;"_"&amp;$A39, Khung_KeHoach_Chuan!$A$11:$J$91, 6, FALSE)</f>
        <v>Kiến trúc mạng, luồng điều khiển, kết quả thực nghiệm, biểu đồ minh họa</v>
      </c>
      <c r="E39" s="35"/>
      <c r="F39" s="11" t="str">
        <f>VLOOKUP($L$4&amp;"_"&amp;$A39, Khung_KeHoach_Chuan!$A$11:$J$91, 7, FALSE)</f>
        <v>2026-11-09</v>
      </c>
      <c r="G39" s="11" t="str">
        <f>VLOOKUP($L$4&amp;"_"&amp;$A39, Khung_KeHoach_Chuan!$A$11:$J$91, 8, FALSE)</f>
        <v>2026-11-18</v>
      </c>
      <c r="H39" s="10" t="str">
        <f>VLOOKUP($L$4&amp;"_"&amp;$A39, Khung_KeHoach_Chuan!$A$11:$J$91, 9, FALSE)</f>
        <v>Bản thảo Chương 4, 5 đầy đủ sơ đồ và số liệu</v>
      </c>
      <c r="I39" s="11" t="s">
        <v>518</v>
      </c>
      <c r="J39" s="10"/>
    </row>
    <row r="40" spans="1:10" ht="28.5">
      <c r="A40" s="13">
        <v>20</v>
      </c>
      <c r="B40" s="14" t="str">
        <f>VLOOKUP($L$4&amp;"_"&amp;$A40, Khung_KeHoach_Chuan!$A$11:$J$91, 4, FALSE)</f>
        <v>V. VIẾT &amp; HOÀN THIỆN BÁO CÁO</v>
      </c>
      <c r="C40" s="16" t="str">
        <f>VLOOKUP($L$4&amp;"_"&amp;$A40, Khung_KeHoach_Chuan!$A$11:$J$91, 5, FALSE)</f>
        <v>Hoàn thiện bản thảo toàn văn (Draft 100%)</v>
      </c>
      <c r="D40" s="32" t="str">
        <f>VLOOKUP($L$4&amp;"_"&amp;$A40, Khung_KeHoach_Chuan!$A$11:$J$91, 6, FALSE)</f>
        <v>Ghép nối toàn bộ nội dung, rà soát nhất quán thuật ngữ SDN/SD-WAN</v>
      </c>
      <c r="E40" s="35"/>
      <c r="F40" s="15" t="str">
        <f>VLOOKUP($L$4&amp;"_"&amp;$A40, Khung_KeHoach_Chuan!$A$11:$J$91, 7, FALSE)</f>
        <v>2026-11-16</v>
      </c>
      <c r="G40" s="15" t="str">
        <f>VLOOKUP($L$4&amp;"_"&amp;$A40, Khung_KeHoach_Chuan!$A$11:$J$91, 8, FALSE)</f>
        <v>2026-11-20</v>
      </c>
      <c r="H40" s="14" t="str">
        <f>VLOOKUP($L$4&amp;"_"&amp;$A40, Khung_KeHoach_Chuan!$A$11:$J$91, 9, FALSE)</f>
        <v>Bản thảo báo cáo toàn văn 100%</v>
      </c>
      <c r="I40" s="15" t="s">
        <v>518</v>
      </c>
      <c r="J40" s="14"/>
    </row>
    <row r="41" spans="1:10" ht="28.5">
      <c r="A41" s="9">
        <v>21</v>
      </c>
      <c r="B41" s="10" t="str">
        <f>VLOOKUP($L$4&amp;"_"&amp;$A41, Khung_KeHoach_Chuan!$A$11:$J$91, 4, FALSE)</f>
        <v>V. VIẾT &amp; HOÀN THIỆN BÁO CÁO</v>
      </c>
      <c r="C41" s="17" t="str">
        <f>VLOOKUP($L$4&amp;"_"&amp;$A41, Khung_KeHoach_Chuan!$A$11:$J$91, 5, FALSE)</f>
        <v>Review chéo, xin ý kiến GVHD &amp; chỉnh sửa hoàn thiện</v>
      </c>
      <c r="D41" s="33" t="str">
        <f>VLOOKUP($L$4&amp;"_"&amp;$A41, Khung_KeHoach_Chuan!$A$11:$J$91, 6, FALSE)</f>
        <v>GVHD góp ý tính đúng đắn kỹ thuật mạng, chỉnh sửa văn phong</v>
      </c>
      <c r="E41" s="35"/>
      <c r="F41" s="11" t="str">
        <f>VLOOKUP($L$4&amp;"_"&amp;$A41, Khung_KeHoach_Chuan!$A$11:$J$91, 7, FALSE)</f>
        <v>2026-11-18</v>
      </c>
      <c r="G41" s="11" t="str">
        <f>VLOOKUP($L$4&amp;"_"&amp;$A41, Khung_KeHoach_Chuan!$A$11:$J$91, 8, FALSE)</f>
        <v>2026-11-20</v>
      </c>
      <c r="H41" s="10" t="str">
        <f>VLOOKUP($L$4&amp;"_"&amp;$A41, Khung_KeHoach_Chuan!$A$11:$J$91, 9, FALSE)</f>
        <v>Biên bản phản hồi góp ý + Bản sửa lần cuối</v>
      </c>
      <c r="I41" s="11" t="s">
        <v>518</v>
      </c>
      <c r="J41" s="10"/>
    </row>
    <row r="42" spans="1:10" ht="28.5">
      <c r="A42" s="19">
        <v>22</v>
      </c>
      <c r="B42" s="21" t="str">
        <f>VLOOKUP($L$4&amp;"_"&amp;$A42, Khung_KeHoach_Chuan!$A$11:$J$91, 4, FALSE)</f>
        <v>V. VIẾT &amp; HOÀN THIỆN BÁO CÁO</v>
      </c>
      <c r="C42" s="31" t="str">
        <f>VLOOKUP($L$4&amp;"_"&amp;$A42, Khung_KeHoach_Chuan!$A$11:$J$91, 5, FALSE)</f>
        <v>CHỐT BÁO CÁO SẠCH (FINAL REPORT)</v>
      </c>
      <c r="D42" s="34" t="str">
        <f>VLOOKUP($L$4&amp;"_"&amp;$A42, Khung_KeHoach_Chuan!$A$11:$J$91, 6, FALSE)</f>
        <v>Khóa nội dung, kiểm tra định dạng chuẩn TDTU, xuất PDF hoàn chỉnh</v>
      </c>
      <c r="E42" s="35"/>
      <c r="F42" s="20" t="str">
        <f>VLOOKUP($L$4&amp;"_"&amp;$A42, Khung_KeHoach_Chuan!$A$11:$J$91, 7, FALSE)</f>
        <v>2026-11-20</v>
      </c>
      <c r="G42" s="20" t="str">
        <f>VLOOKUP($L$4&amp;"_"&amp;$A42, Khung_KeHoach_Chuan!$A$11:$J$91, 8, FALSE)</f>
        <v>2026-11-20</v>
      </c>
      <c r="H42" s="21" t="str">
        <f>VLOOKUP($L$4&amp;"_"&amp;$A42, Khung_KeHoach_Chuan!$A$11:$J$91, 9, FALSE)</f>
        <v>BÁO CÁO SẠCH FINAL READY TO SUBMIT</v>
      </c>
      <c r="I42" s="20" t="s">
        <v>518</v>
      </c>
      <c r="J42" s="21"/>
    </row>
    <row r="43" spans="1:10" ht="28.5">
      <c r="A43" s="19">
        <v>23</v>
      </c>
      <c r="B43" s="21" t="str">
        <f>VLOOKUP($L$4&amp;"_"&amp;$A43, Khung_KeHoach_Chuan!$A$11:$J$91, 4, FALSE)</f>
        <v>VI. ĐÓNG GÓI, BÁO CÁO &amp; ĐÁNH GIÁ RUBRIC</v>
      </c>
      <c r="C43" s="31" t="str">
        <f>VLOOKUP($L$4&amp;"_"&amp;$A43, Khung_KeHoach_Chuan!$A$11:$J$91, 5, FALSE)</f>
        <v>NỘP BÁO CÁO CUỐI KỲ (TURNITIN + ELIT)</v>
      </c>
      <c r="D43" s="34" t="str">
        <f>VLOOKUP($L$4&amp;"_"&amp;$A43, Khung_KeHoach_Chuan!$A$11:$J$91, 6, FALSE)</f>
        <v>Nộp file check đạo văn Turnitin + nộp hệ thống ELIT theo quy định Khoa</v>
      </c>
      <c r="E43" s="35"/>
      <c r="F43" s="20" t="str">
        <f>VLOOKUP($L$4&amp;"_"&amp;$A43, Khung_KeHoach_Chuan!$A$11:$J$91, 7, FALSE)</f>
        <v>2026-11-24</v>
      </c>
      <c r="G43" s="20" t="str">
        <f>VLOOKUP($L$4&amp;"_"&amp;$A43, Khung_KeHoach_Chuan!$A$11:$J$91, 8, FALSE)</f>
        <v>2026-12-04</v>
      </c>
      <c r="H43" s="21" t="str">
        <f>VLOOKUP($L$4&amp;"_"&amp;$A43, Khung_KeHoach_Chuan!$A$11:$J$91, 9, FALSE)</f>
        <v>Xác nhận nộp bài thành công trên ELIT &amp; Turnitin</v>
      </c>
      <c r="I43" s="20" t="s">
        <v>518</v>
      </c>
      <c r="J43" s="21"/>
    </row>
    <row r="44" spans="1:10" ht="28.5">
      <c r="A44" s="13">
        <v>24</v>
      </c>
      <c r="B44" s="14" t="str">
        <f>VLOOKUP($L$4&amp;"_"&amp;$A44, Khung_KeHoach_Chuan!$A$11:$J$91, 4, FALSE)</f>
        <v>VI. ĐÓNG GÓI, BÁO CÁO &amp; ĐÁNH GIÁ RUBRIC</v>
      </c>
      <c r="C44" s="16" t="str">
        <f>VLOOKUP($L$4&amp;"_"&amp;$A44, Khung_KeHoach_Chuan!$A$11:$J$91, 5, FALSE)</f>
        <v>Đóng gói mã nguồn, Demo package, Slide thuyết trình</v>
      </c>
      <c r="D44" s="32" t="str">
        <f>VLOOKUP($L$4&amp;"_"&amp;$A44, Khung_KeHoach_Chuan!$A$11:$J$91, 6, FALSE)</f>
        <v>Video demo hệ thống SDN/SD-WAN vận hành thực tế, source code sạch, slide</v>
      </c>
      <c r="E44" s="35"/>
      <c r="F44" s="15" t="str">
        <f>VLOOKUP($L$4&amp;"_"&amp;$A44, Khung_KeHoach_Chuan!$A$11:$J$91, 7, FALSE)</f>
        <v>2026-12-05</v>
      </c>
      <c r="G44" s="15" t="str">
        <f>VLOOKUP($L$4&amp;"_"&amp;$A44, Khung_KeHoach_Chuan!$A$11:$J$91, 8, FALSE)</f>
        <v>2026-12-15</v>
      </c>
      <c r="H44" s="14" t="str">
        <f>VLOOKUP($L$4&amp;"_"&amp;$A44, Khung_KeHoach_Chuan!$A$11:$J$91, 9, FALSE)</f>
        <v>Slide báo cáo + Source code package sạch</v>
      </c>
      <c r="I44" s="15" t="s">
        <v>518</v>
      </c>
      <c r="J44" s="14"/>
    </row>
    <row r="45" spans="1:10" ht="28.5">
      <c r="A45" s="9">
        <v>25</v>
      </c>
      <c r="B45" s="10" t="str">
        <f>VLOOKUP($L$4&amp;"_"&amp;$A45, Khung_KeHoach_Chuan!$A$11:$J$91, 4, FALSE)</f>
        <v>VI. ĐÓNG GÓI, BÁO CÁO &amp; ĐÁNH GIÁ RUBRIC</v>
      </c>
      <c r="C45" s="17" t="str">
        <f>VLOOKUP($L$4&amp;"_"&amp;$A45, Khung_KeHoach_Chuan!$A$11:$J$91, 5, FALSE)</f>
        <v>GVHD xác nhận duyệt cho sinh viên ra phản biện</v>
      </c>
      <c r="D45" s="33" t="str">
        <f>VLOOKUP($L$4&amp;"_"&amp;$A45, Khung_KeHoach_Chuan!$A$11:$J$91, 6, FALSE)</f>
        <v>ThS. Lê Viết Thanh xác nhận duyệt đủ điều kiện báo cáo với GVPB</v>
      </c>
      <c r="E45" s="35"/>
      <c r="F45" s="11" t="str">
        <f>VLOOKUP($L$4&amp;"_"&amp;$A45, Khung_KeHoach_Chuan!$A$11:$J$91, 7, FALSE)</f>
        <v>2026-11-29</v>
      </c>
      <c r="G45" s="11" t="str">
        <f>VLOOKUP($L$4&amp;"_"&amp;$A45, Khung_KeHoach_Chuan!$A$11:$J$91, 8, FALSE)</f>
        <v>2026-12-04</v>
      </c>
      <c r="H45" s="10" t="str">
        <f>VLOOKUP($L$4&amp;"_"&amp;$A45, Khung_KeHoach_Chuan!$A$11:$J$91, 9, FALSE)</f>
        <v>Xác nhận của GVHD trên hệ thống</v>
      </c>
      <c r="I45" s="11" t="s">
        <v>518</v>
      </c>
      <c r="J45" s="10"/>
    </row>
    <row r="46" spans="1:10" ht="28.5">
      <c r="A46" s="13">
        <v>26</v>
      </c>
      <c r="B46" s="14" t="str">
        <f>VLOOKUP($L$4&amp;"_"&amp;$A46, Khung_KeHoach_Chuan!$A$11:$J$91, 4, FALSE)</f>
        <v>VI. ĐÓNG GÓI, BÁO CÁO &amp; ĐÁNH GIÁ RUBRIC</v>
      </c>
      <c r="C46" s="16" t="str">
        <f>VLOOKUP($L$4&amp;"_"&amp;$A46, Khung_KeHoach_Chuan!$A$11:$J$91, 5, FALSE)</f>
        <v>Tập dượt thuyết trình &amp; Chuẩn bị câu hỏi phản biện</v>
      </c>
      <c r="D46" s="32" t="str">
        <f>VLOOKUP($L$4&amp;"_"&amp;$A46, Khung_KeHoach_Chuan!$A$11:$J$91, 6, FALSE)</f>
        <v>Trả lời câu hỏi về lựa chọn kiến trúc SDN/SD-WAN, thuật toán định tuyến, kết quả thực nghiệm</v>
      </c>
      <c r="E46" s="35"/>
      <c r="F46" s="15" t="str">
        <f>VLOOKUP($L$4&amp;"_"&amp;$A46, Khung_KeHoach_Chuan!$A$11:$J$91, 7, FALSE)</f>
        <v>2026-12-18</v>
      </c>
      <c r="G46" s="15" t="str">
        <f>VLOOKUP($L$4&amp;"_"&amp;$A46, Khung_KeHoach_Chuan!$A$11:$J$91, 8, FALSE)</f>
        <v>2026-12-25</v>
      </c>
      <c r="H46" s="14" t="str">
        <f>VLOOKUP($L$4&amp;"_"&amp;$A46, Khung_KeHoach_Chuan!$A$11:$J$91, 9, FALSE)</f>
        <v>Bộ câu hỏi Q&amp;A + Kịch bản demo trơn tru</v>
      </c>
      <c r="I46" s="15" t="s">
        <v>518</v>
      </c>
      <c r="J46" s="14"/>
    </row>
    <row r="47" spans="1:10" ht="28.5">
      <c r="A47" s="19">
        <v>27</v>
      </c>
      <c r="B47" s="21" t="str">
        <f>VLOOKUP($L$4&amp;"_"&amp;$A47, Khung_KeHoach_Chuan!$A$11:$J$91, 4, FALSE)</f>
        <v>VI. ĐÓNG GÓI, BÁO CÁO &amp; ĐÁNH GIÁ RUBRIC</v>
      </c>
      <c r="C47" s="31" t="str">
        <f>VLOOKUP($L$4&amp;"_"&amp;$A47, Khung_KeHoach_Chuan!$A$11:$J$91, 5, FALSE)</f>
        <v>BÁO CÁO VỚI GVPB &amp; NHẬP ĐIỂM RUBRIC</v>
      </c>
      <c r="D47" s="34" t="str">
        <f>VLOOKUP($L$4&amp;"_"&amp;$A47, Khung_KeHoach_Chuan!$A$11:$J$91, 6, FALSE)</f>
        <v>Báo cáo trực tiếp với GVPB; GVPB và GVHD thống nhất điểm trên Rubric</v>
      </c>
      <c r="E47" s="35"/>
      <c r="F47" s="20" t="str">
        <f>VLOOKUP($L$4&amp;"_"&amp;$A47, Khung_KeHoach_Chuan!$A$11:$J$91, 7, FALSE)</f>
        <v>2026-12-26</v>
      </c>
      <c r="G47" s="20" t="str">
        <f>VLOOKUP($L$4&amp;"_"&amp;$A47, Khung_KeHoach_Chuan!$A$11:$J$91, 8, FALSE)</f>
        <v>2026-12-31</v>
      </c>
      <c r="H47" s="21" t="str">
        <f>VLOOKUP($L$4&amp;"_"&amp;$A47, Khung_KeHoach_Chuan!$A$11:$J$91, 9, FALSE)</f>
        <v>Hoàn thành bảo vệ &amp; Điểm số Rubric chính thức</v>
      </c>
      <c r="I47" s="20" t="s">
        <v>518</v>
      </c>
      <c r="J47" s="21"/>
    </row>
    <row r="48" spans="1:10" ht="15.75" customHeight="1">
      <c r="A48" s="90" t="s">
        <v>519</v>
      </c>
      <c r="B48" s="90"/>
      <c r="C48" s="90"/>
      <c r="D48" s="90"/>
      <c r="E48" s="90"/>
      <c r="F48" s="90"/>
      <c r="G48" s="90"/>
      <c r="H48" s="90"/>
      <c r="I48" s="90"/>
      <c r="J48" s="38"/>
    </row>
    <row r="49" spans="1:10" ht="15.75" thickBot="1">
      <c r="A49" s="8" t="s">
        <v>8</v>
      </c>
      <c r="B49" s="8" t="s">
        <v>70</v>
      </c>
      <c r="C49" s="8" t="s">
        <v>71</v>
      </c>
      <c r="D49" s="8" t="s">
        <v>513</v>
      </c>
      <c r="E49" s="8" t="s">
        <v>514</v>
      </c>
      <c r="F49" s="8" t="s">
        <v>73</v>
      </c>
      <c r="G49" s="8" t="s">
        <v>74</v>
      </c>
      <c r="H49" s="8" t="s">
        <v>75</v>
      </c>
      <c r="I49" s="8" t="s">
        <v>515</v>
      </c>
      <c r="J49" s="8" t="s">
        <v>516</v>
      </c>
    </row>
    <row r="50" spans="1:10" ht="42.75">
      <c r="A50" s="9">
        <v>1</v>
      </c>
      <c r="B50" s="10" t="str">
        <f>IFERROR(VLOOKUP($C$10&amp;"_"&amp;$A50, Khung_KeHoach_Chuan!$A$11:$J$91, 4, FALSE),"")</f>
        <v>I. ĐỊNH HƯỚNG &amp; PHƯƠNG PHÁP LUẬN</v>
      </c>
      <c r="C50" s="17" t="str">
        <f>IFERROR(VLOOKUP($C$10&amp;"_"&amp;$A50, Khung_KeHoach_Chuan!$A$11:$J$91, 5, FALSE),"")</f>
        <v>Xác định đề tài nghiên cứu ứng dụng ML trong SDN/SD-WAN &amp; phạm vi ĐATN</v>
      </c>
      <c r="D50" s="33" t="str">
        <f>IFERROR(VLOOKUP($C$10&amp;"_"&amp;$A50, Khung_KeHoach_Chuan!$A$11:$J$91, 6, FALSE),"")</f>
        <v>Bài toán mạng cụ thể (định tuyến thông minh/phát hiện tấn công/tối ưu QoS bằng ML), mục tiêu &amp; phạm vi</v>
      </c>
      <c r="E50" s="35" t="s">
        <v>670</v>
      </c>
      <c r="F50" s="11" t="str">
        <f>IFERROR(VLOOKUP($C$10&amp;"_"&amp;$A50, Khung_KeHoach_Chuan!$A$11:$J$91, 7, FALSE),"")</f>
        <v>2026-08-24</v>
      </c>
      <c r="G50" s="11" t="str">
        <f>IFERROR(VLOOKUP($C$10&amp;"_"&amp;$A50, Khung_KeHoach_Chuan!$A$11:$J$91, 8, FALSE),"")</f>
        <v>2026-08-31</v>
      </c>
      <c r="H50" s="10" t="str">
        <f>IFERROR(VLOOKUP($C$10&amp;"_"&amp;$A50, Khung_KeHoach_Chuan!$A$11:$J$91, 9, FALSE),"")</f>
        <v>Đề cương chi tiết ĐATN + Tuyên bố bài toán &amp; phạm vi ứng dụng ML/SDN</v>
      </c>
      <c r="I50" s="11" t="s">
        <v>517</v>
      </c>
      <c r="J50" s="10" t="s">
        <v>658</v>
      </c>
    </row>
    <row r="51" spans="1:10" ht="42.75">
      <c r="A51" s="13">
        <v>2</v>
      </c>
      <c r="B51" s="14" t="str">
        <f>IFERROR(VLOOKUP($C$10&amp;"_"&amp;$A51, Khung_KeHoach_Chuan!$A$11:$J$91, 4, FALSE),"")</f>
        <v>I. ĐỊNH HƯỚNG &amp; PHƯƠNG PHÁP LUẬN</v>
      </c>
      <c r="C51" s="16" t="str">
        <f>IFERROR(VLOOKUP($C$10&amp;"_"&amp;$A51, Khung_KeHoach_Chuan!$A$11:$J$91, 5, FALSE),"")</f>
        <v>Khảo sát tài liệu học thuật về SDN/SD-WAN &amp; các mô hình ML liên quan</v>
      </c>
      <c r="D51" s="32" t="str">
        <f>IFERROR(VLOOKUP($C$10&amp;"_"&amp;$A51, Khung_KeHoach_Chuan!$A$11:$J$91, 6, FALSE),"")</f>
        <v>Tổng hợp bài báo, giải pháp hiện có; phân tích ưu nhược điểm các phương pháp ML trong quản lý mạng</v>
      </c>
      <c r="E51" s="35" t="s">
        <v>671</v>
      </c>
      <c r="F51" s="15" t="str">
        <f>IFERROR(VLOOKUP($C$10&amp;"_"&amp;$A51, Khung_KeHoach_Chuan!$A$11:$J$91, 7, FALSE),"")</f>
        <v>2026-08-24</v>
      </c>
      <c r="G51" s="15" t="str">
        <f>IFERROR(VLOOKUP($C$10&amp;"_"&amp;$A51, Khung_KeHoach_Chuan!$A$11:$J$91, 8, FALSE),"")</f>
        <v>2026-09-05</v>
      </c>
      <c r="H51" s="14" t="str">
        <f>IFERROR(VLOOKUP($C$10&amp;"_"&amp;$A51, Khung_KeHoach_Chuan!$A$11:$J$91, 9, FALSE),"")</f>
        <v>Báo cáo tổng quan nghiên cứu (Literature Review v1)</v>
      </c>
      <c r="I51" s="15" t="s">
        <v>517</v>
      </c>
      <c r="J51" s="14" t="s">
        <v>666</v>
      </c>
    </row>
    <row r="52" spans="1:10" ht="51.75" customHeight="1">
      <c r="A52" s="9">
        <v>3</v>
      </c>
      <c r="B52" s="10" t="str">
        <f>IFERROR(VLOOKUP($C$10&amp;"_"&amp;$A52, Khung_KeHoach_Chuan!$A$11:$J$91, 4, FALSE),"")</f>
        <v>I. ĐỊNH HƯỚNG &amp; PHƯƠNG PHÁP LUẬN</v>
      </c>
      <c r="C52" s="17" t="str">
        <f>IFERROR(VLOOKUP($C$10&amp;"_"&amp;$A52, Khung_KeHoach_Chuan!$A$11:$J$91, 5, FALSE),"")</f>
        <v>Đề xuất kiến trúc giải pháp SDN/SD-WAN tích hợp ML</v>
      </c>
      <c r="D52" s="33" t="str">
        <f>IFERROR(VLOOKUP($C$10&amp;"_"&amp;$A52, Khung_KeHoach_Chuan!$A$11:$J$91, 6, FALSE),"")</f>
        <v>Controller, mô hình ML đề xuất (thuật toán, kiến trúc mạng nơ-ron nếu có), luồng xử lý dữ liệu</v>
      </c>
      <c r="E52" s="35" t="s">
        <v>672</v>
      </c>
      <c r="F52" s="11" t="str">
        <f>IFERROR(VLOOKUP($C$10&amp;"_"&amp;$A52, Khung_KeHoach_Chuan!$A$11:$J$91, 7, FALSE),"")</f>
        <v>2026-09-01</v>
      </c>
      <c r="G52" s="11" t="str">
        <f>IFERROR(VLOOKUP($C$10&amp;"_"&amp;$A52, Khung_KeHoach_Chuan!$A$11:$J$91, 8, FALSE),"")</f>
        <v>2026-09-08</v>
      </c>
      <c r="H52" s="10" t="str">
        <f>IFERROR(VLOOKUP($C$10&amp;"_"&amp;$A52, Khung_KeHoach_Chuan!$A$11:$J$91, 9, FALSE),"")</f>
        <v>Sơ đồ kiến trúc giải pháp đề xuất + Lý giải lựa chọn</v>
      </c>
      <c r="I52" s="11" t="s">
        <v>517</v>
      </c>
      <c r="J52" s="10" t="s">
        <v>658</v>
      </c>
    </row>
    <row r="53" spans="1:10" ht="28.5">
      <c r="A53" s="13">
        <v>4</v>
      </c>
      <c r="B53" s="14" t="str">
        <f>IFERROR(VLOOKUP($C$10&amp;"_"&amp;$A53, Khung_KeHoach_Chuan!$A$11:$J$91, 4, FALSE),"")</f>
        <v>I. ĐỊNH HƯỚNG &amp; PHƯƠNG PHÁP LUẬN</v>
      </c>
      <c r="C53" s="16" t="str">
        <f>IFERROR(VLOOKUP($C$10&amp;"_"&amp;$A53, Khung_KeHoach_Chuan!$A$11:$J$91, 5, FALSE),"")</f>
        <v>Lập kế hoạch WBS 18 tuần, phân công &amp; quản trị rủi ro</v>
      </c>
      <c r="D53" s="32" t="str">
        <f>IFERROR(VLOOKUP($C$10&amp;"_"&amp;$A53, Khung_KeHoach_Chuan!$A$11:$J$91, 6, FALSE),"")</f>
        <v>Phân rã công việc thu thập dữ liệu mạng, huấn luyện mô hình, tích hợp hệ thống; Git repo, Drive</v>
      </c>
      <c r="E53" s="35" t="s">
        <v>673</v>
      </c>
      <c r="F53" s="15" t="str">
        <f>IFERROR(VLOOKUP($C$10&amp;"_"&amp;$A53, Khung_KeHoach_Chuan!$A$11:$J$91, 7, FALSE),"")</f>
        <v>2026-09-03</v>
      </c>
      <c r="G53" s="15" t="str">
        <f>IFERROR(VLOOKUP($C$10&amp;"_"&amp;$A53, Khung_KeHoach_Chuan!$A$11:$J$91, 8, FALSE),"")</f>
        <v>2026-09-10</v>
      </c>
      <c r="H53" s="14" t="str">
        <f>IFERROR(VLOOKUP($C$10&amp;"_"&amp;$A53, Khung_KeHoach_Chuan!$A$11:$J$91, 9, FALSE),"")</f>
        <v>WBS Roadmap 18 tuần + Git repo + Quy chế làm việc</v>
      </c>
      <c r="I53" s="15" t="s">
        <v>517</v>
      </c>
      <c r="J53" s="14" t="s">
        <v>660</v>
      </c>
    </row>
    <row r="54" spans="1:10" ht="48.75" customHeight="1">
      <c r="A54" s="9">
        <v>5</v>
      </c>
      <c r="B54" s="10" t="str">
        <f>IFERROR(VLOOKUP($C$10&amp;"_"&amp;$A54, Khung_KeHoach_Chuan!$A$11:$J$91, 4, FALSE),"")</f>
        <v>II. THIẾT KẾ &amp; CHUẨN BỊ</v>
      </c>
      <c r="C54" s="17" t="str">
        <f>IFERROR(VLOOKUP($C$10&amp;"_"&amp;$A54, Khung_KeHoach_Chuan!$A$11:$J$91, 5, FALSE),"")</f>
        <v>Thiết kế kiến trúc hệ thống, thuật toán ML &amp; cơ sở dữ liệu mạng</v>
      </c>
      <c r="D54" s="33" t="str">
        <f>IFERROR(VLOOKUP($C$10&amp;"_"&amp;$A54, Khung_KeHoach_Chuan!$A$11:$J$91, 6, FALSE),"")</f>
        <v>Kiến trúc controller-ML engine, thuật toán xử lý, schema lưu trữ flow/traffic data</v>
      </c>
      <c r="E54" s="35" t="s">
        <v>674</v>
      </c>
      <c r="F54" s="11" t="str">
        <f>IFERROR(VLOOKUP($C$10&amp;"_"&amp;$A54, Khung_KeHoach_Chuan!$A$11:$J$91, 7, FALSE),"")</f>
        <v>2026-09-08</v>
      </c>
      <c r="G54" s="11" t="str">
        <f>IFERROR(VLOOKUP($C$10&amp;"_"&amp;$A54, Khung_KeHoach_Chuan!$A$11:$J$91, 8, FALSE),"")</f>
        <v>2026-09-19</v>
      </c>
      <c r="H54" s="10" t="str">
        <f>IFERROR(VLOOKUP($C$10&amp;"_"&amp;$A54, Khung_KeHoach_Chuan!$A$11:$J$91, 9, FALSE),"")</f>
        <v>Tài liệu đặc tả thiết kế chi tiết (System Architecture)</v>
      </c>
      <c r="I54" s="11" t="s">
        <v>517</v>
      </c>
      <c r="J54" s="10" t="s">
        <v>660</v>
      </c>
    </row>
    <row r="55" spans="1:10" ht="42.75">
      <c r="A55" s="13">
        <v>6</v>
      </c>
      <c r="B55" s="14" t="str">
        <f>IFERROR(VLOOKUP($C$10&amp;"_"&amp;$A55, Khung_KeHoach_Chuan!$A$11:$J$91, 4, FALSE),"")</f>
        <v>II. THIẾT KẾ &amp; CHUẨN BỊ</v>
      </c>
      <c r="C55" s="16" t="str">
        <f>IFERROR(VLOOKUP($C$10&amp;"_"&amp;$A55, Khung_KeHoach_Chuan!$A$11:$J$91, 5, FALSE),"")</f>
        <v>Chuẩn bị hạ tầng thử nghiệm SDN/SD-WAN, dataset &amp; công cụ</v>
      </c>
      <c r="D55" s="32" t="str">
        <f>IFERROR(VLOOKUP($C$10&amp;"_"&amp;$A55, Khung_KeHoach_Chuan!$A$11:$J$91, 6, FALSE),"")</f>
        <v>Testbed (Mininet/Containerlab/GNS3), thu thập/tìm dataset traffic chuẩn, cài đặt công cụ ML</v>
      </c>
      <c r="E55" s="35" t="s">
        <v>675</v>
      </c>
      <c r="F55" s="15" t="str">
        <f>IFERROR(VLOOKUP($C$10&amp;"_"&amp;$A55, Khung_KeHoach_Chuan!$A$11:$J$91, 7, FALSE),"")</f>
        <v>2026-09-11</v>
      </c>
      <c r="G55" s="15" t="str">
        <f>IFERROR(VLOOKUP($C$10&amp;"_"&amp;$A55, Khung_KeHoach_Chuan!$A$11:$J$91, 8, FALSE),"")</f>
        <v>2026-09-19</v>
      </c>
      <c r="H55" s="14" t="str">
        <f>IFERROR(VLOOKUP($C$10&amp;"_"&amp;$A55, Khung_KeHoach_Chuan!$A$11:$J$91, 9, FALSE),"")</f>
        <v>Môi trường thực nghiệm chuẩn hóa + Bộ công cụ thử nghiệm</v>
      </c>
      <c r="I55" s="15" t="s">
        <v>517</v>
      </c>
      <c r="J55" s="14" t="s">
        <v>660</v>
      </c>
    </row>
    <row r="56" spans="1:10" ht="28.5">
      <c r="A56" s="9">
        <v>7</v>
      </c>
      <c r="B56" s="10" t="str">
        <f>IFERROR(VLOOKUP($C$10&amp;"_"&amp;$A56, Khung_KeHoach_Chuan!$A$11:$J$91, 4, FALSE),"")</f>
        <v>II. THIẾT KẾ &amp; CHUẨN BỊ</v>
      </c>
      <c r="C56" s="17" t="str">
        <f>IFERROR(VLOOKUP($C$10&amp;"_"&amp;$A56, Khung_KeHoach_Chuan!$A$11:$J$91, 5, FALSE),"")</f>
        <v>Xây dựng kịch bản thực nghiệm &amp; Baseline đánh giá</v>
      </c>
      <c r="D56" s="33" t="str">
        <f>IFERROR(VLOOKUP($C$10&amp;"_"&amp;$A56, Khung_KeHoach_Chuan!$A$11:$J$91, 6, FALSE),"")</f>
        <v>Kịch bản mô phỏng lưu lượng/tấn công, đối tượng baseline so sánh, độ đo đánh giá</v>
      </c>
      <c r="E56" s="35" t="s">
        <v>676</v>
      </c>
      <c r="F56" s="11" t="str">
        <f>IFERROR(VLOOKUP($C$10&amp;"_"&amp;$A56, Khung_KeHoach_Chuan!$A$11:$J$91, 7, FALSE),"")</f>
        <v>2026-09-15</v>
      </c>
      <c r="G56" s="11" t="str">
        <f>IFERROR(VLOOKUP($C$10&amp;"_"&amp;$A56, Khung_KeHoach_Chuan!$A$11:$J$91, 8, FALSE),"")</f>
        <v>2026-09-22</v>
      </c>
      <c r="H56" s="10" t="str">
        <f>IFERROR(VLOOKUP($C$10&amp;"_"&amp;$A56, Khung_KeHoach_Chuan!$A$11:$J$91, 9, FALSE),"")</f>
        <v>Kịch bản thực nghiệm chi tiết + Danh mục Benchmark</v>
      </c>
      <c r="I56" s="11" t="s">
        <v>517</v>
      </c>
      <c r="J56" s="10" t="s">
        <v>666</v>
      </c>
    </row>
    <row r="57" spans="1:10" ht="42.75">
      <c r="A57" s="13">
        <v>8</v>
      </c>
      <c r="B57" s="14" t="str">
        <f>IFERROR(VLOOKUP($C$10&amp;"_"&amp;$A57, Khung_KeHoach_Chuan!$A$11:$J$91, 4, FALSE),"")</f>
        <v>II. THIẾT KẾ &amp; CHUẨN BỊ</v>
      </c>
      <c r="C57" s="16" t="str">
        <f>IFERROR(VLOOKUP($C$10&amp;"_"&amp;$A57, Khung_KeHoach_Chuan!$A$11:$J$91, 5, FALSE),"")</f>
        <v>Thực hiện PoC kiểm chứng tính khả thi của giải pháp đề xuất</v>
      </c>
      <c r="D57" s="32" t="str">
        <f>IFERROR(VLOOKUP($C$10&amp;"_"&amp;$A57, Khung_KeHoach_Chuan!$A$11:$J$91, 6, FALSE),"")</f>
        <v>Chạy thử giải pháp trên topology thu gọn để chứng minh khả năng triển khai thực tế</v>
      </c>
      <c r="E57" s="35" t="s">
        <v>677</v>
      </c>
      <c r="F57" s="15" t="str">
        <f>IFERROR(VLOOKUP($C$10&amp;"_"&amp;$A57, Khung_KeHoach_Chuan!$A$11:$J$91, 7, FALSE),"")</f>
        <v>2026-09-16</v>
      </c>
      <c r="G57" s="15" t="str">
        <f>IFERROR(VLOOKUP($C$10&amp;"_"&amp;$A57, Khung_KeHoach_Chuan!$A$11:$J$91, 8, FALSE),"")</f>
        <v>2026-09-24</v>
      </c>
      <c r="H57" s="14" t="str">
        <f>IFERROR(VLOOKUP($C$10&amp;"_"&amp;$A57, Khung_KeHoach_Chuan!$A$11:$J$91, 9, FALSE),"")</f>
        <v>Báo cáo thực nghiệm PoC + Đánh giá tính khả thi</v>
      </c>
      <c r="I57" s="15" t="s">
        <v>529</v>
      </c>
      <c r="J57" s="14" t="s">
        <v>666</v>
      </c>
    </row>
    <row r="58" spans="1:10" ht="60" customHeight="1">
      <c r="A58" s="9">
        <v>9</v>
      </c>
      <c r="B58" s="10" t="str">
        <f>IFERROR(VLOOKUP($C$10&amp;"_"&amp;$A58, Khung_KeHoach_Chuan!$A$11:$J$91, 4, FALSE),"")</f>
        <v>III. TRIỂN KHAI / THỰC NGHIỆM</v>
      </c>
      <c r="C58" s="17" t="str">
        <f>IFERROR(VLOOKUP($C$10&amp;"_"&amp;$A58, Khung_KeHoach_Chuan!$A$11:$J$91, 5, FALSE),"")</f>
        <v>Xây dựng Prototype/MVP: hệ thống SDN/SD-WAN vận hành ổn định</v>
      </c>
      <c r="D58" s="33" t="str">
        <f>IFERROR(VLOOKUP($C$10&amp;"_"&amp;$A58, Khung_KeHoach_Chuan!$A$11:$J$91, 6, FALSE),"")</f>
        <v>Hoàn thiện module trung tâm (controller + orchestrator), luồng dữ liệu thông suốt đầu-cuối</v>
      </c>
      <c r="E58" s="35" t="s">
        <v>678</v>
      </c>
      <c r="F58" s="11" t="str">
        <f>IFERROR(VLOOKUP($C$10&amp;"_"&amp;$A58, Khung_KeHoach_Chuan!$A$11:$J$91, 7, FALSE),"")</f>
        <v>2026-09-20</v>
      </c>
      <c r="G58" s="11" t="str">
        <f>IFERROR(VLOOKUP($C$10&amp;"_"&amp;$A58, Khung_KeHoach_Chuan!$A$11:$J$91, 8, FALSE),"")</f>
        <v>2026-09-30</v>
      </c>
      <c r="H58" s="10" t="str">
        <f>IFERROR(VLOOKUP($C$10&amp;"_"&amp;$A58, Khung_KeHoach_Chuan!$A$11:$J$91, 9, FALSE),"")</f>
        <v>Prototype/MVP hoạt động ổn định trên tập test</v>
      </c>
      <c r="I58" s="11" t="s">
        <v>529</v>
      </c>
      <c r="J58" s="10" t="s">
        <v>658</v>
      </c>
    </row>
    <row r="59" spans="1:10" ht="28.5">
      <c r="A59" s="19">
        <v>10</v>
      </c>
      <c r="B59" s="21" t="str">
        <f>IFERROR(VLOOKUP($C$10&amp;"_"&amp;$A59, Khung_KeHoach_Chuan!$A$11:$J$91, 4, FALSE),"")</f>
        <v>III. TRIỂN KHAI / THỰC NGHIỆM</v>
      </c>
      <c r="C59" s="31" t="str">
        <f>IFERROR(VLOOKUP($C$10&amp;"_"&amp;$A59, Khung_KeHoach_Chuan!$A$11:$J$91, 5, FALSE),"")</f>
        <v>NỘP BÁO CÁO TIẾN ĐỘ GIỮA KỲ (MỐC KHOA)</v>
      </c>
      <c r="D59" s="34" t="str">
        <f>IFERROR(VLOOKUP($C$10&amp;"_"&amp;$A59, Khung_KeHoach_Chuan!$A$11:$J$91, 6, FALSE),"")</f>
        <v>Tổng hợp tiến độ, nộp phiếu theo dõi có chữ ký GVHD</v>
      </c>
      <c r="E59" s="35" t="s">
        <v>679</v>
      </c>
      <c r="F59" s="20" t="str">
        <f>IFERROR(VLOOKUP($C$10&amp;"_"&amp;$A59, Khung_KeHoach_Chuan!$A$11:$J$91, 7, FALSE),"")</f>
        <v>2026-09-20</v>
      </c>
      <c r="G59" s="20" t="str">
        <f>IFERROR(VLOOKUP($C$10&amp;"_"&amp;$A59, Khung_KeHoach_Chuan!$A$11:$J$91, 8, FALSE),"")</f>
        <v>2026-10-04</v>
      </c>
      <c r="H59" s="21" t="str">
        <f>IFERROR(VLOOKUP($C$10&amp;"_"&amp;$A59, Khung_KeHoach_Chuan!$A$11:$J$91, 9, FALSE),"")</f>
        <v>Phiếu theo dõi có chữ ký GVHD + Báo cáo giữa kỳ ELIT</v>
      </c>
      <c r="I59" s="20" t="s">
        <v>518</v>
      </c>
      <c r="J59" s="21" t="s">
        <v>658</v>
      </c>
    </row>
    <row r="60" spans="1:10">
      <c r="A60" s="9">
        <v>11</v>
      </c>
      <c r="B60" s="10" t="str">
        <f>IFERROR(VLOOKUP($C$10&amp;"_"&amp;$A60, Khung_KeHoach_Chuan!$A$11:$J$91, 4, FALSE),"")</f>
        <v>III. TRIỂN KHAI / THỰC NGHIỆM</v>
      </c>
      <c r="C60" s="17" t="str">
        <f>IFERROR(VLOOKUP($C$10&amp;"_"&amp;$A60, Khung_KeHoach_Chuan!$A$11:$J$91, 5, FALSE),"")</f>
        <v>Hoàn thiện toàn bộ module hệ thống &amp; chính sách điều khiển</v>
      </c>
      <c r="D60" s="33" t="str">
        <f>IFERROR(VLOOKUP($C$10&amp;"_"&amp;$A60, Khung_KeHoach_Chuan!$A$11:$J$91, 6, FALSE),"")</f>
        <v>Mở rộng tính năng, module giám sát mạng, chính sách tự động hóa cấu hình nếu có</v>
      </c>
      <c r="E60" s="35"/>
      <c r="F60" s="11" t="str">
        <f>IFERROR(VLOOKUP($C$10&amp;"_"&amp;$A60, Khung_KeHoach_Chuan!$A$11:$J$91, 7, FALSE),"")</f>
        <v>2026-10-05</v>
      </c>
      <c r="G60" s="11" t="str">
        <f>IFERROR(VLOOKUP($C$10&amp;"_"&amp;$A60, Khung_KeHoach_Chuan!$A$11:$J$91, 8, FALSE),"")</f>
        <v>2026-10-25</v>
      </c>
      <c r="H60" s="10" t="str">
        <f>IFERROR(VLOOKUP($C$10&amp;"_"&amp;$A60, Khung_KeHoach_Chuan!$A$11:$J$91, 9, FALSE),"")</f>
        <v>Hệ thống hoàn chỉnh tất cả các module</v>
      </c>
      <c r="I60" s="11" t="s">
        <v>518</v>
      </c>
      <c r="J60" s="10"/>
    </row>
    <row r="61" spans="1:10">
      <c r="A61" s="13">
        <v>12</v>
      </c>
      <c r="B61" s="14" t="str">
        <f>IFERROR(VLOOKUP($C$10&amp;"_"&amp;$A61, Khung_KeHoach_Chuan!$A$11:$J$91, 4, FALSE),"")</f>
        <v>III. TRIỂN KHAI / THỰC NGHIỆM</v>
      </c>
      <c r="C61" s="16" t="str">
        <f>IFERROR(VLOOKUP($C$10&amp;"_"&amp;$A61, Khung_KeHoach_Chuan!$A$11:$J$91, 5, FALSE),"")</f>
        <v>Tích hợp toàn diện hệ thống, kiểm thử liên kết &amp; tối ưu hóa</v>
      </c>
      <c r="D61" s="32" t="str">
        <f>IFERROR(VLOOKUP($C$10&amp;"_"&amp;$A61, Khung_KeHoach_Chuan!$A$11:$J$91, 6, FALSE),"")</f>
        <v>Kết nối các thành phần, tối ưu thời gian xử lý, cải thiện độ ổn định hệ thống</v>
      </c>
      <c r="E61" s="35"/>
      <c r="F61" s="15" t="str">
        <f>IFERROR(VLOOKUP($C$10&amp;"_"&amp;$A61, Khung_KeHoach_Chuan!$A$11:$J$91, 7, FALSE),"")</f>
        <v>2026-10-26</v>
      </c>
      <c r="G61" s="15" t="str">
        <f>IFERROR(VLOOKUP($C$10&amp;"_"&amp;$A61, Khung_KeHoach_Chuan!$A$11:$J$91, 8, FALSE),"")</f>
        <v>2026-11-08</v>
      </c>
      <c r="H61" s="14" t="str">
        <f>IFERROR(VLOOKUP($C$10&amp;"_"&amp;$A61, Khung_KeHoach_Chuan!$A$11:$J$91, 9, FALSE),"")</f>
        <v>Bản Release ứng cử viên (Release Candidate)</v>
      </c>
      <c r="I61" s="15" t="s">
        <v>518</v>
      </c>
      <c r="J61" s="14"/>
    </row>
    <row r="62" spans="1:10">
      <c r="A62" s="9">
        <v>13</v>
      </c>
      <c r="B62" s="10" t="str">
        <f>IFERROR(VLOOKUP($C$10&amp;"_"&amp;$A62, Khung_KeHoach_Chuan!$A$11:$J$91, 4, FALSE),"")</f>
        <v>III. TRIỂN KHAI / THỰC NGHIỆM</v>
      </c>
      <c r="C62" s="17" t="str">
        <f>IFERROR(VLOOKUP($C$10&amp;"_"&amp;$A62, Khung_KeHoach_Chuan!$A$11:$J$91, 5, FALSE),"")</f>
        <v>Lưu trữ nhật ký thực nghiệm, Logs, Raw Data &amp; Evidence</v>
      </c>
      <c r="D62" s="33" t="str">
        <f>IFERROR(VLOOKUP($C$10&amp;"_"&amp;$A62, Khung_KeHoach_Chuan!$A$11:$J$91, 6, FALSE),"")</f>
        <v>Log cấu hình controller, thay đổi chính sách định tuyến để đối chiếu kết quả</v>
      </c>
      <c r="E62" s="35"/>
      <c r="F62" s="11" t="str">
        <f>IFERROR(VLOOKUP($C$10&amp;"_"&amp;$A62, Khung_KeHoach_Chuan!$A$11:$J$91, 7, FALSE),"")</f>
        <v>2026-09-20</v>
      </c>
      <c r="G62" s="11" t="str">
        <f>IFERROR(VLOOKUP($C$10&amp;"_"&amp;$A62, Khung_KeHoach_Chuan!$A$11:$J$91, 8, FALSE),"")</f>
        <v>2026-11-15</v>
      </c>
      <c r="H62" s="10" t="str">
        <f>IFERROR(VLOOKUP($C$10&amp;"_"&amp;$A62, Khung_KeHoach_Chuan!$A$11:$J$91, 9, FALSE),"")</f>
        <v>Repository thực nghiệm + Thư mục Raw Data/Logs</v>
      </c>
      <c r="I62" s="11" t="s">
        <v>518</v>
      </c>
      <c r="J62" s="10"/>
    </row>
    <row r="63" spans="1:10">
      <c r="A63" s="13">
        <v>14</v>
      </c>
      <c r="B63" s="14" t="str">
        <f>IFERROR(VLOOKUP($C$10&amp;"_"&amp;$A63, Khung_KeHoach_Chuan!$A$11:$J$91, 4, FALSE),"")</f>
        <v>IV. KIỂM THỬ &amp; ĐÁNH GIÁ</v>
      </c>
      <c r="C63" s="16" t="str">
        <f>IFERROR(VLOOKUP($C$10&amp;"_"&amp;$A63, Khung_KeHoach_Chuan!$A$11:$J$91, 5, FALSE),"")</f>
        <v>Chạy thực nghiệm chính thức trên toàn bộ tập dữ liệu/topology</v>
      </c>
      <c r="D63" s="32" t="str">
        <f>IFERROR(VLOOKUP($C$10&amp;"_"&amp;$A63, Khung_KeHoach_Chuan!$A$11:$J$91, 6, FALSE),"")</f>
        <v>Đo đạc chính thức theo kịch bản đã thiết lập; lặp lại nhiều lần đảm bảo khách quan</v>
      </c>
      <c r="E63" s="35"/>
      <c r="F63" s="15" t="str">
        <f>IFERROR(VLOOKUP($C$10&amp;"_"&amp;$A63, Khung_KeHoach_Chuan!$A$11:$J$91, 7, FALSE),"")</f>
        <v>2026-11-09</v>
      </c>
      <c r="G63" s="15" t="str">
        <f>IFERROR(VLOOKUP($C$10&amp;"_"&amp;$A63, Khung_KeHoach_Chuan!$A$11:$J$91, 8, FALSE),"")</f>
        <v>2026-11-20</v>
      </c>
      <c r="H63" s="14" t="str">
        <f>IFERROR(VLOOKUP($C$10&amp;"_"&amp;$A63, Khung_KeHoach_Chuan!$A$11:$J$91, 9, FALSE),"")</f>
        <v>Bảng dữ liệu kết quả thực nghiệm thô (Raw Results)</v>
      </c>
      <c r="I63" s="15" t="s">
        <v>518</v>
      </c>
      <c r="J63" s="14"/>
    </row>
    <row r="64" spans="1:10">
      <c r="A64" s="9">
        <v>15</v>
      </c>
      <c r="B64" s="10" t="str">
        <f>IFERROR(VLOOKUP($C$10&amp;"_"&amp;$A64, Khung_KeHoach_Chuan!$A$11:$J$91, 4, FALSE),"")</f>
        <v>IV. KIỂM THỬ &amp; ĐÁNH GIÁ</v>
      </c>
      <c r="C64" s="17" t="str">
        <f>IFERROR(VLOOKUP($C$10&amp;"_"&amp;$A64, Khung_KeHoach_Chuan!$A$11:$J$91, 5, FALSE),"")</f>
        <v>Xử lý, làm sạch &amp; chuẩn hóa dữ liệu kết quả thực nghiệm</v>
      </c>
      <c r="D64" s="33" t="str">
        <f>IFERROR(VLOOKUP($C$10&amp;"_"&amp;$A64, Khung_KeHoach_Chuan!$A$11:$J$91, 6, FALSE),"")</f>
        <v>Phân tích thống kê, loại trừ ngoại lai có giải trình, tính giá trị trung bình/độ lệch chuẩn</v>
      </c>
      <c r="E64" s="35"/>
      <c r="F64" s="11" t="str">
        <f>IFERROR(VLOOKUP($C$10&amp;"_"&amp;$A64, Khung_KeHoach_Chuan!$A$11:$J$91, 7, FALSE),"")</f>
        <v>2026-11-16</v>
      </c>
      <c r="G64" s="11" t="str">
        <f>IFERROR(VLOOKUP($C$10&amp;"_"&amp;$A64, Khung_KeHoach_Chuan!$A$11:$J$91, 8, FALSE),"")</f>
        <v>2026-11-25</v>
      </c>
      <c r="H64" s="10" t="str">
        <f>IFERROR(VLOOKUP($C$10&amp;"_"&amp;$A64, Khung_KeHoach_Chuan!$A$11:$J$91, 9, FALSE),"")</f>
        <v>Dataset kết quả đã được làm sạch và xử lý</v>
      </c>
      <c r="I64" s="11" t="s">
        <v>518</v>
      </c>
      <c r="J64" s="10"/>
    </row>
    <row r="65" spans="1:10">
      <c r="A65" s="13">
        <v>16</v>
      </c>
      <c r="B65" s="14" t="str">
        <f>IFERROR(VLOOKUP($C$10&amp;"_"&amp;$A65, Khung_KeHoach_Chuan!$A$11:$J$91, 4, FALSE),"")</f>
        <v>IV. KIỂM THỬ &amp; ĐÁNH GIÁ</v>
      </c>
      <c r="C65" s="16" t="str">
        <f>IFERROR(VLOOKUP($C$10&amp;"_"&amp;$A65, Khung_KeHoach_Chuan!$A$11:$J$91, 5, FALSE),"")</f>
        <v>Phân tích kết quả, so sánh Baseline &amp; trực quan hóa</v>
      </c>
      <c r="D65" s="32" t="str">
        <f>IFERROR(VLOOKUP($C$10&amp;"_"&amp;$A65, Khung_KeHoach_Chuan!$A$11:$J$91, 6, FALSE),"")</f>
        <v>Vẽ biểu đồ so sánh mô hình đề xuất với baseline, phân tích trường hợp thành công/thất bại</v>
      </c>
      <c r="E65" s="35"/>
      <c r="F65" s="15" t="str">
        <f>IFERROR(VLOOKUP($C$10&amp;"_"&amp;$A65, Khung_KeHoach_Chuan!$A$11:$J$91, 7, FALSE),"")</f>
        <v>2026-11-21</v>
      </c>
      <c r="G65" s="15" t="str">
        <f>IFERROR(VLOOKUP($C$10&amp;"_"&amp;$A65, Khung_KeHoach_Chuan!$A$11:$J$91, 8, FALSE),"")</f>
        <v>2026-11-30</v>
      </c>
      <c r="H65" s="14" t="str">
        <f>IFERROR(VLOOKUP($C$10&amp;"_"&amp;$A65, Khung_KeHoach_Chuan!$A$11:$J$91, 9, FALSE),"")</f>
        <v>Bộ biểu đồ chuyên nghiệp + Bảng phân tích chuyên sâu</v>
      </c>
      <c r="I65" s="15" t="s">
        <v>518</v>
      </c>
      <c r="J65" s="14"/>
    </row>
    <row r="66" spans="1:10">
      <c r="A66" s="9">
        <v>17</v>
      </c>
      <c r="B66" s="10" t="str">
        <f>IFERROR(VLOOKUP($C$10&amp;"_"&amp;$A66, Khung_KeHoach_Chuan!$A$11:$J$91, 4, FALSE),"")</f>
        <v>IV. KIỂM THỬ &amp; ĐÁNH GIÁ</v>
      </c>
      <c r="C66" s="17" t="str">
        <f>IFERROR(VLOOKUP($C$10&amp;"_"&amp;$A66, Khung_KeHoach_Chuan!$A$11:$J$91, 5, FALSE),"")</f>
        <v>Đối chiếu mục tiêu ban đầu, đóng góp &amp; chỉ ra hạn chế</v>
      </c>
      <c r="D66" s="33" t="str">
        <f>IFERROR(VLOOKUP($C$10&amp;"_"&amp;$A66, Khung_KeHoach_Chuan!$A$11:$J$91, 6, FALSE),"")</f>
        <v>Đánh giá mức độ hoàn thành so với cam kết ban đầu; nêu điểm mới và hạn chế</v>
      </c>
      <c r="E66" s="35"/>
      <c r="F66" s="11" t="str">
        <f>IFERROR(VLOOKUP($C$10&amp;"_"&amp;$A66, Khung_KeHoach_Chuan!$A$11:$J$91, 7, FALSE),"")</f>
        <v>2026-11-26</v>
      </c>
      <c r="G66" s="11" t="str">
        <f>IFERROR(VLOOKUP($C$10&amp;"_"&amp;$A66, Khung_KeHoach_Chuan!$A$11:$J$91, 8, FALSE),"")</f>
        <v>2026-12-05</v>
      </c>
      <c r="H66" s="10" t="str">
        <f>IFERROR(VLOOKUP($C$10&amp;"_"&amp;$A66, Khung_KeHoach_Chuan!$A$11:$J$91, 9, FALSE),"")</f>
        <v>Bảng tổng hợp đối chiếu Mục tiêu - Kết quả đạt được</v>
      </c>
      <c r="I66" s="11" t="s">
        <v>518</v>
      </c>
      <c r="J66" s="10"/>
    </row>
    <row r="67" spans="1:10">
      <c r="A67" s="13">
        <v>18</v>
      </c>
      <c r="B67" s="14" t="str">
        <f>IFERROR(VLOOKUP($C$10&amp;"_"&amp;$A67, Khung_KeHoach_Chuan!$A$11:$J$91, 4, FALSE),"")</f>
        <v>V. VIẾT &amp; HOÀN THIỆN BÁO CÁO</v>
      </c>
      <c r="C67" s="16" t="str">
        <f>IFERROR(VLOOKUP($C$10&amp;"_"&amp;$A67, Khung_KeHoach_Chuan!$A$11:$J$91, 5, FALSE),"")</f>
        <v>Xây dựng khung báo cáo &amp; hoàn thành Chương 1, 2, 3</v>
      </c>
      <c r="D67" s="32" t="str">
        <f>IFERROR(VLOOKUP($C$10&amp;"_"&amp;$A67, Khung_KeHoach_Chuan!$A$11:$J$91, 6, FALSE),"")</f>
        <v>Mở đầu, Cơ sở lý thuyết SDN/SD-WAN, Thiết kế hệ thống theo chuẩn ĐATN TDTU</v>
      </c>
      <c r="E67" s="35"/>
      <c r="F67" s="15" t="str">
        <f>IFERROR(VLOOKUP($C$10&amp;"_"&amp;$A67, Khung_KeHoach_Chuan!$A$11:$J$91, 7, FALSE),"")</f>
        <v>2026-11-01</v>
      </c>
      <c r="G67" s="15" t="str">
        <f>IFERROR(VLOOKUP($C$10&amp;"_"&amp;$A67, Khung_KeHoach_Chuan!$A$11:$J$91, 8, FALSE),"")</f>
        <v>2026-11-20</v>
      </c>
      <c r="H67" s="14" t="str">
        <f>IFERROR(VLOOKUP($C$10&amp;"_"&amp;$A67, Khung_KeHoach_Chuan!$A$11:$J$91, 9, FALSE),"")</f>
        <v>Bản thảo Chương 1, 2, 3 chuẩn quy cách ĐATN TDTU</v>
      </c>
      <c r="I67" s="15" t="s">
        <v>518</v>
      </c>
      <c r="J67" s="14"/>
    </row>
    <row r="68" spans="1:10">
      <c r="A68" s="9">
        <v>19</v>
      </c>
      <c r="B68" s="10" t="str">
        <f>IFERROR(VLOOKUP($C$10&amp;"_"&amp;$A68, Khung_KeHoach_Chuan!$A$11:$J$91, 4, FALSE),"")</f>
        <v>V. VIẾT &amp; HOÀN THIỆN BÁO CÁO</v>
      </c>
      <c r="C68" s="17" t="str">
        <f>IFERROR(VLOOKUP($C$10&amp;"_"&amp;$A68, Khung_KeHoach_Chuan!$A$11:$J$91, 5, FALSE),"")</f>
        <v>Viết Chương Triển khai, Thực nghiệm &amp; Đánh giá (Chương 4, 5)</v>
      </c>
      <c r="D68" s="33" t="str">
        <f>IFERROR(VLOOKUP($C$10&amp;"_"&amp;$A68, Khung_KeHoach_Chuan!$A$11:$J$91, 6, FALSE),"")</f>
        <v>Môi trường thực nghiệm, kết quả triển khai/kiểm thử, thảo luận kết quả</v>
      </c>
      <c r="E68" s="35"/>
      <c r="F68" s="11" t="str">
        <f>IFERROR(VLOOKUP($C$10&amp;"_"&amp;$A68, Khung_KeHoach_Chuan!$A$11:$J$91, 7, FALSE),"")</f>
        <v>2026-11-21</v>
      </c>
      <c r="G68" s="11" t="str">
        <f>IFERROR(VLOOKUP($C$10&amp;"_"&amp;$A68, Khung_KeHoach_Chuan!$A$11:$J$91, 8, FALSE),"")</f>
        <v>2026-12-05</v>
      </c>
      <c r="H68" s="10" t="str">
        <f>IFERROR(VLOOKUP($C$10&amp;"_"&amp;$A68, Khung_KeHoach_Chuan!$A$11:$J$91, 9, FALSE),"")</f>
        <v>Bản thảo Chương 4, 5 chi tiết</v>
      </c>
      <c r="I68" s="11" t="s">
        <v>518</v>
      </c>
      <c r="J68" s="10"/>
    </row>
    <row r="69" spans="1:10">
      <c r="A69" s="13">
        <v>20</v>
      </c>
      <c r="B69" s="14" t="str">
        <f>IFERROR(VLOOKUP($C$10&amp;"_"&amp;$A69, Khung_KeHoach_Chuan!$A$11:$J$91, 4, FALSE),"")</f>
        <v>V. VIẾT &amp; HOÀN THIỆN BÁO CÁO</v>
      </c>
      <c r="C69" s="16" t="str">
        <f>IFERROR(VLOOKUP($C$10&amp;"_"&amp;$A69, Khung_KeHoach_Chuan!$A$11:$J$91, 5, FALSE),"")</f>
        <v>Viết Kết luận, Tóm tắt, Tài liệu tham khảo &amp; Phụ lục</v>
      </c>
      <c r="D69" s="32" t="str">
        <f>IFERROR(VLOOKUP($C$10&amp;"_"&amp;$A69, Khung_KeHoach_Chuan!$A$11:$J$91, 6, FALSE),"")</f>
        <v>Kết luận &amp; Hướng phát triển, chuẩn hóa tài liệu tham khảo theo IEEE</v>
      </c>
      <c r="E69" s="35"/>
      <c r="F69" s="15" t="str">
        <f>IFERROR(VLOOKUP($C$10&amp;"_"&amp;$A69, Khung_KeHoach_Chuan!$A$11:$J$91, 7, FALSE),"")</f>
        <v>2026-12-01</v>
      </c>
      <c r="G69" s="15" t="str">
        <f>IFERROR(VLOOKUP($C$10&amp;"_"&amp;$A69, Khung_KeHoach_Chuan!$A$11:$J$91, 8, FALSE),"")</f>
        <v>2026-12-08</v>
      </c>
      <c r="H69" s="14" t="str">
        <f>IFERROR(VLOOKUP($C$10&amp;"_"&amp;$A69, Khung_KeHoach_Chuan!$A$11:$J$91, 9, FALSE),"")</f>
        <v>Bản thảo toàn văn 100% (Full Draft v1)</v>
      </c>
      <c r="I69" s="15" t="s">
        <v>518</v>
      </c>
      <c r="J69" s="14"/>
    </row>
    <row r="70" spans="1:10">
      <c r="A70" s="9">
        <v>21</v>
      </c>
      <c r="B70" s="10" t="str">
        <f>IFERROR(VLOOKUP($C$10&amp;"_"&amp;$A70, Khung_KeHoach_Chuan!$A$11:$J$91, 4, FALSE),"")</f>
        <v>V. VIẾT &amp; HOÀN THIỆN BÁO CÁO</v>
      </c>
      <c r="C70" s="17" t="str">
        <f>IFERROR(VLOOKUP($C$10&amp;"_"&amp;$A70, Khung_KeHoach_Chuan!$A$11:$J$91, 5, FALSE),"")</f>
        <v>Review chéo, xin ý kiến GVHD &amp; hiệu chỉnh</v>
      </c>
      <c r="D70" s="33" t="str">
        <f>IFERROR(VLOOKUP($C$10&amp;"_"&amp;$A70, Khung_KeHoach_Chuan!$A$11:$J$91, 6, FALSE),"")</f>
        <v>Gửi bản thảo cho GVHD phản biện; tiếp thu chỉnh sửa cấu trúc, thuật ngữ kỹ thuật</v>
      </c>
      <c r="E70" s="35"/>
      <c r="F70" s="11" t="str">
        <f>IFERROR(VLOOKUP($C$10&amp;"_"&amp;$A70, Khung_KeHoach_Chuan!$A$11:$J$91, 7, FALSE),"")</f>
        <v>2026-12-06</v>
      </c>
      <c r="G70" s="11" t="str">
        <f>IFERROR(VLOOKUP($C$10&amp;"_"&amp;$A70, Khung_KeHoach_Chuan!$A$11:$J$91, 8, FALSE),"")</f>
        <v>2026-12-10</v>
      </c>
      <c r="H70" s="10" t="str">
        <f>IFERROR(VLOOKUP($C$10&amp;"_"&amp;$A70, Khung_KeHoach_Chuan!$A$11:$J$91, 9, FALSE),"")</f>
        <v>Bản thảo đã được GVHD góp ý và chỉnh sửa</v>
      </c>
      <c r="I70" s="11" t="s">
        <v>518</v>
      </c>
      <c r="J70" s="10"/>
    </row>
    <row r="71" spans="1:10" ht="28.5">
      <c r="A71" s="19">
        <v>22</v>
      </c>
      <c r="B71" s="21" t="str">
        <f>IFERROR(VLOOKUP($C$10&amp;"_"&amp;$A71, Khung_KeHoach_Chuan!$A$11:$J$91, 4, FALSE),"")</f>
        <v>V. VIẾT &amp; HOÀN THIỆN BÁO CÁO</v>
      </c>
      <c r="C71" s="31" t="str">
        <f>IFERROR(VLOOKUP($C$10&amp;"_"&amp;$A71, Khung_KeHoach_Chuan!$A$11:$J$91, 5, FALSE),"")</f>
        <v>CHỐT BÁO CÁO SẠCH ĐATN (FINAL REPORT)</v>
      </c>
      <c r="D71" s="34" t="str">
        <f>IFERROR(VLOOKUP($C$10&amp;"_"&amp;$A71, Khung_KeHoach_Chuan!$A$11:$J$91, 6, FALSE),"")</f>
        <v>Hoàn tất 100% nội dung, chính tả, định dạng chuẩn TDTU, xuất PDF báo cáo sạch</v>
      </c>
      <c r="E71" s="35"/>
      <c r="F71" s="20" t="str">
        <f>IFERROR(VLOOKUP($C$10&amp;"_"&amp;$A71, Khung_KeHoach_Chuan!$A$11:$J$91, 7, FALSE),"")</f>
        <v>2026-12-10</v>
      </c>
      <c r="G71" s="20" t="str">
        <f>IFERROR(VLOOKUP($C$10&amp;"_"&amp;$A71, Khung_KeHoach_Chuan!$A$11:$J$91, 8, FALSE),"")</f>
        <v>2026-12-10</v>
      </c>
      <c r="H71" s="21" t="str">
        <f>IFERROR(VLOOKUP($C$10&amp;"_"&amp;$A71, Khung_KeHoach_Chuan!$A$11:$J$91, 9, FALSE),"")</f>
        <v>BÁO CÁO SẠCH HOÀN TẤT (Trước deadline 1 tuần)</v>
      </c>
      <c r="I71" s="20" t="s">
        <v>518</v>
      </c>
      <c r="J71" s="21"/>
    </row>
    <row r="72" spans="1:10">
      <c r="A72" s="19">
        <v>23</v>
      </c>
      <c r="B72" s="21" t="str">
        <f>IFERROR(VLOOKUP($C$10&amp;"_"&amp;$A72, Khung_KeHoach_Chuan!$A$11:$J$91, 4, FALSE),"")</f>
        <v>VI. ĐÓNG GÓI, PHẢN BIỆN, BẢO VỆ &amp; NỘP ELIT</v>
      </c>
      <c r="C72" s="31" t="str">
        <f>IFERROR(VLOOKUP($C$10&amp;"_"&amp;$A72, Khung_KeHoach_Chuan!$A$11:$J$91, 5, FALSE),"")</f>
        <v>NỘP BÁO CÁO CUỐI KỲ (TURNITIN + ELIT)</v>
      </c>
      <c r="D72" s="34" t="str">
        <f>IFERROR(VLOOKUP($C$10&amp;"_"&amp;$A72, Khung_KeHoach_Chuan!$A$11:$J$91, 6, FALSE),"")</f>
        <v>Nộp file lên Turnitin (kiểm tra đạo văn) và hệ thống ELIT theo thông báo Khoa</v>
      </c>
      <c r="E72" s="35"/>
      <c r="F72" s="20" t="str">
        <f>IFERROR(VLOOKUP($C$10&amp;"_"&amp;$A72, Khung_KeHoach_Chuan!$A$11:$J$91, 7, FALSE),"")</f>
        <v>2026-12-17</v>
      </c>
      <c r="G72" s="20" t="str">
        <f>IFERROR(VLOOKUP($C$10&amp;"_"&amp;$A72, Khung_KeHoach_Chuan!$A$11:$J$91, 8, FALSE),"")</f>
        <v>2026-12-27</v>
      </c>
      <c r="H72" s="21" t="str">
        <f>IFERROR(VLOOKUP($C$10&amp;"_"&amp;$A72, Khung_KeHoach_Chuan!$A$11:$J$91, 9, FALSE),"")</f>
        <v>Xác nhận nộp báo cáo cuối kỳ thành công trên ELIT</v>
      </c>
      <c r="I72" s="20" t="s">
        <v>518</v>
      </c>
      <c r="J72" s="21"/>
    </row>
    <row r="73" spans="1:10">
      <c r="A73" s="13">
        <v>24</v>
      </c>
      <c r="B73" s="14" t="str">
        <f>IFERROR(VLOOKUP($C$10&amp;"_"&amp;$A73, Khung_KeHoach_Chuan!$A$11:$J$91, 4, FALSE),"")</f>
        <v>VI. ĐÓNG GÓI, PHẢN BIỆN, BẢO VỆ &amp; NỘP ELIT</v>
      </c>
      <c r="C73" s="16" t="str">
        <f>IFERROR(VLOOKUP($C$10&amp;"_"&amp;$A73, Khung_KeHoach_Chuan!$A$11:$J$91, 5, FALSE),"")</f>
        <v>GVHD duyệt xác nhận cho SV ra Hội đồng phản biện</v>
      </c>
      <c r="D73" s="32" t="str">
        <f>IFERROR(VLOOKUP($C$10&amp;"_"&amp;$A73, Khung_KeHoach_Chuan!$A$11:$J$91, 6, FALSE),"")</f>
        <v>ThS. Lê Viết Thanh xác nhận đủ điều kiện ra Hội đồng trên hệ thống</v>
      </c>
      <c r="E73" s="35"/>
      <c r="F73" s="15" t="str">
        <f>IFERROR(VLOOKUP($C$10&amp;"_"&amp;$A73, Khung_KeHoach_Chuan!$A$11:$J$91, 7, FALSE),"")</f>
        <v>2026-12-22</v>
      </c>
      <c r="G73" s="15" t="str">
        <f>IFERROR(VLOOKUP($C$10&amp;"_"&amp;$A73, Khung_KeHoach_Chuan!$A$11:$J$91, 8, FALSE),"")</f>
        <v>2026-12-26</v>
      </c>
      <c r="H73" s="14" t="str">
        <f>IFERROR(VLOOKUP($C$10&amp;"_"&amp;$A73, Khung_KeHoach_Chuan!$A$11:$J$91, 9, FALSE),"")</f>
        <v>Xác nhận của GVHD đủ điều kiện phản biện</v>
      </c>
      <c r="I73" s="15" t="s">
        <v>518</v>
      </c>
      <c r="J73" s="14"/>
    </row>
    <row r="74" spans="1:10">
      <c r="A74" s="9">
        <v>25</v>
      </c>
      <c r="B74" s="10" t="str">
        <f>IFERROR(VLOOKUP($C$10&amp;"_"&amp;$A74, Khung_KeHoach_Chuan!$A$11:$J$91, 4, FALSE),"")</f>
        <v>VI. ĐÓNG GÓI, PHẢN BIỆN, BẢO VỆ &amp; NỘP ELIT</v>
      </c>
      <c r="C74" s="17" t="str">
        <f>IFERROR(VLOOKUP($C$10&amp;"_"&amp;$A74, Khung_KeHoach_Chuan!$A$11:$J$91, 5, FALSE),"")</f>
        <v>Gặp &amp; Báo cáo với Giảng viên phản biện (GVPB)</v>
      </c>
      <c r="D74" s="33" t="str">
        <f>IFERROR(VLOOKUP($C$10&amp;"_"&amp;$A74, Khung_KeHoach_Chuan!$A$11:$J$91, 6, FALSE),"")</f>
        <v>Trình bày kết quả triển khai giải pháp SDN/SD-WAN với GVPB; nhận phiếu đánh giá</v>
      </c>
      <c r="E74" s="35"/>
      <c r="F74" s="11" t="str">
        <f>IFERROR(VLOOKUP($C$10&amp;"_"&amp;$A74, Khung_KeHoach_Chuan!$A$11:$J$91, 7, FALSE),"")</f>
        <v>2027-01-01</v>
      </c>
      <c r="G74" s="11" t="str">
        <f>IFERROR(VLOOKUP($C$10&amp;"_"&amp;$A74, Khung_KeHoach_Chuan!$A$11:$J$91, 8, FALSE),"")</f>
        <v>2027-01-08</v>
      </c>
      <c r="H74" s="10" t="str">
        <f>IFERROR(VLOOKUP($C$10&amp;"_"&amp;$A74, Khung_KeHoach_Chuan!$A$11:$J$91, 9, FALSE),"")</f>
        <v>Phiếu chấm điểm phản biện của GVPB</v>
      </c>
      <c r="I74" s="11" t="s">
        <v>518</v>
      </c>
      <c r="J74" s="10"/>
    </row>
    <row r="75" spans="1:10">
      <c r="A75" s="13">
        <v>26</v>
      </c>
      <c r="B75" s="14" t="str">
        <f>IFERROR(VLOOKUP($C$10&amp;"_"&amp;$A75, Khung_KeHoach_Chuan!$A$11:$J$91, 4, FALSE),"")</f>
        <v>VI. ĐÓNG GÓI, PHẢN BIỆN, BẢO VỆ &amp; NỘP ELIT</v>
      </c>
      <c r="C75" s="16" t="str">
        <f>IFERROR(VLOOKUP($C$10&amp;"_"&amp;$A75, Khung_KeHoach_Chuan!$A$11:$J$91, 5, FALSE),"")</f>
        <v>TỔ CHỨC HỘI ĐỒNG BẢO VỆ ĐATN</v>
      </c>
      <c r="D75" s="32" t="str">
        <f>IFERROR(VLOOKUP($C$10&amp;"_"&amp;$A75, Khung_KeHoach_Chuan!$A$11:$J$91, 6, FALSE),"")</f>
        <v>Thuyết trình trước Hội đồng đánh giá ĐATN của Khoa CNTT - ĐH Tôn Đức Thắng</v>
      </c>
      <c r="E75" s="35"/>
      <c r="F75" s="15" t="str">
        <f>IFERROR(VLOOKUP($C$10&amp;"_"&amp;$A75, Khung_KeHoach_Chuan!$A$11:$J$91, 7, FALSE),"")</f>
        <v>2027-01-13</v>
      </c>
      <c r="G75" s="15" t="str">
        <f>IFERROR(VLOOKUP($C$10&amp;"_"&amp;$A75, Khung_KeHoach_Chuan!$A$11:$J$91, 8, FALSE),"")</f>
        <v>2027-01-18</v>
      </c>
      <c r="H75" s="14" t="str">
        <f>IFERROR(VLOOKUP($C$10&amp;"_"&amp;$A75, Khung_KeHoach_Chuan!$A$11:$J$91, 9, FALSE),"")</f>
        <v>Biên bản chấm điểm của Hội đồng bảo vệ ĐATN</v>
      </c>
      <c r="I75" s="15" t="s">
        <v>518</v>
      </c>
      <c r="J75" s="14"/>
    </row>
    <row r="76" spans="1:10">
      <c r="A76" s="19">
        <v>27</v>
      </c>
      <c r="B76" s="21" t="str">
        <f>IFERROR(VLOOKUP($C$10&amp;"_"&amp;$A76, Khung_KeHoach_Chuan!$A$11:$J$91, 4, FALSE),"")</f>
        <v>VI. ĐÓNG GÓI, PHẢN BIỆN, BẢO VỆ &amp; NỘP ELIT</v>
      </c>
      <c r="C76" s="31" t="str">
        <f>IFERROR(VLOOKUP($C$10&amp;"_"&amp;$A76, Khung_KeHoach_Chuan!$A$11:$J$91, 5, FALSE),"")</f>
        <v>Chỉnh sửa theo góp ý Hội đồng &amp; Nộp file ELIT</v>
      </c>
      <c r="D76" s="34" t="str">
        <f>IFERROR(VLOOKUP($C$10&amp;"_"&amp;$A76, Khung_KeHoach_Chuan!$A$11:$J$91, 6, FALSE),"")</f>
        <v>Hiệu chỉnh báo cáo theo nhận xét của HĐ, nộp file hoàn thiện lên ELIT</v>
      </c>
      <c r="E76" s="35"/>
      <c r="F76" s="20" t="str">
        <f>IFERROR(VLOOKUP($C$10&amp;"_"&amp;$A76, Khung_KeHoach_Chuan!$A$11:$J$91, 7, FALSE),"")</f>
        <v>2027-01-18</v>
      </c>
      <c r="G76" s="20" t="str">
        <f>IFERROR(VLOOKUP($C$10&amp;"_"&amp;$A76, Khung_KeHoach_Chuan!$A$11:$J$91, 8, FALSE),"")</f>
        <v>2027-02-16</v>
      </c>
      <c r="H76" s="21" t="str">
        <f>IFERROR(VLOOKUP($C$10&amp;"_"&amp;$A76, Khung_KeHoach_Chuan!$A$11:$J$91, 9, FALSE),"")</f>
        <v>Điểm số ĐATN chính thức được công nhận</v>
      </c>
      <c r="I76" s="20" t="s">
        <v>518</v>
      </c>
      <c r="J76" s="21"/>
    </row>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
    <mergeCell ref="A1:I1"/>
    <mergeCell ref="A2:I2"/>
    <mergeCell ref="A16:I16"/>
    <mergeCell ref="A48:I48"/>
  </mergeCells>
  <dataValidations count="4">
    <dataValidation type="list" allowBlank="1" sqref="C4" xr:uid="{00000000-0002-0000-0900-000000000000}">
      <formula1>"Dự án CNTT,Đồ án tốt nghiệp,Khóa luận tốt nghiệp,Dự án + Đồ án,Dự án + Khóa luận"</formula1>
    </dataValidation>
    <dataValidation type="list" allowBlank="1" sqref="I21:I47" xr:uid="{00000000-0002-0000-0900-000001000000}">
      <formula1>"Chưa bắt đầu,Đang thực hiện,Hoàn thành,Tạm hoãn - Bị chặn"</formula1>
    </dataValidation>
    <dataValidation type="list" allowBlank="1" showInputMessage="1" showErrorMessage="1" sqref="C10:C11" xr:uid="{1CE7BED8-66AD-440C-A259-B84B8467731F}">
      <formula1>"Dự án CNTT,Đồ án tốt nghiệp,Khóa luận tốt nghiệp"</formula1>
    </dataValidation>
    <dataValidation type="list" allowBlank="1" showInputMessage="1" showErrorMessage="1" sqref="I50:I76" xr:uid="{4CDA169A-0F78-49AB-9028-5177934234D4}">
      <formula1>"Chưa bắt đầu,Đang thực hiện,Hoàn thành,Tạm hoãn - Bị chặn"</formula1>
    </dataValidation>
  </dataValidations>
  <hyperlinks>
    <hyperlink ref="C7" r:id="rId1" xr:uid="{9D3F42FB-CB64-4135-BE5D-CFD4E52E8AA7}"/>
    <hyperlink ref="G7" r:id="rId2" xr:uid="{D281C77C-B0A3-465B-82DA-5323BA0C65B9}"/>
    <hyperlink ref="C13" r:id="rId3" xr:uid="{9A74FAA1-DB88-4DE2-A6C5-E1C92D22C95A}"/>
    <hyperlink ref="G13" r:id="rId4" xr:uid="{EEA1B3CA-812A-4D87-8162-64933624E2FC}"/>
  </hyperlinks>
  <pageMargins left="0.75" right="0.75" top="1" bottom="1" header="0" footer="0"/>
  <pageSetup orientation="landscape"/>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election activeCell="E37" sqref="E37"/>
    </sheetView>
  </sheetViews>
  <sheetFormatPr defaultColWidth="14.42578125" defaultRowHeight="15" customHeight="1"/>
  <cols>
    <col min="1" max="1" width="22.42578125"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680</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59</v>
      </c>
      <c r="D4" s="1"/>
      <c r="E4" s="1"/>
      <c r="F4" s="22" t="s">
        <v>488</v>
      </c>
      <c r="G4" s="24" t="s">
        <v>489</v>
      </c>
      <c r="H4" s="1"/>
      <c r="I4" s="1"/>
      <c r="J4" s="38"/>
      <c r="L4" s="37" t="str">
        <f>IF(OR($C$4="Dự án + Đồ án",$C$4="Dự án + Khóa luận"),"Dự án CNTT",$C$4)</f>
        <v>Khóa luận tốt nghiệp</v>
      </c>
    </row>
    <row r="5" spans="1:12" ht="42.75">
      <c r="A5" s="17" t="s">
        <v>490</v>
      </c>
      <c r="B5" s="1"/>
      <c r="C5" s="86" t="s">
        <v>681</v>
      </c>
      <c r="D5" s="87"/>
      <c r="E5" s="87"/>
      <c r="F5" s="87"/>
      <c r="G5" s="87"/>
      <c r="H5" s="87"/>
      <c r="I5" s="88"/>
      <c r="J5" s="38"/>
    </row>
    <row r="6" spans="1:12" ht="71.25">
      <c r="A6" s="22" t="s">
        <v>492</v>
      </c>
      <c r="B6" s="1"/>
      <c r="C6" s="10" t="s">
        <v>646</v>
      </c>
      <c r="D6" s="1"/>
      <c r="E6" s="1"/>
      <c r="F6" s="22" t="s">
        <v>494</v>
      </c>
      <c r="G6" s="10" t="s">
        <v>641</v>
      </c>
      <c r="H6" s="1"/>
      <c r="I6" s="1"/>
      <c r="J6" s="38"/>
    </row>
    <row r="7" spans="1:12" ht="42.75">
      <c r="A7" s="22" t="s">
        <v>496</v>
      </c>
      <c r="B7" s="1"/>
      <c r="C7" s="25" t="s">
        <v>647</v>
      </c>
      <c r="D7" s="1"/>
      <c r="E7" s="1"/>
      <c r="F7" s="22" t="s">
        <v>498</v>
      </c>
      <c r="G7" s="25" t="s">
        <v>643</v>
      </c>
      <c r="H7" s="1"/>
      <c r="I7" s="1"/>
      <c r="J7" s="38"/>
    </row>
    <row r="8" spans="1:12" ht="42.75">
      <c r="A8" s="22" t="s">
        <v>500</v>
      </c>
      <c r="B8" s="1"/>
      <c r="C8" s="17" t="str">
        <f>VLOOKUP($L$4, Khung_KeHoach_Chuan!$A$5:$H$7, 2, FALSE)</f>
        <v>2026-08-06</v>
      </c>
      <c r="D8" s="1"/>
      <c r="E8" s="1"/>
      <c r="F8" s="22" t="s">
        <v>501</v>
      </c>
      <c r="G8" s="26" t="str">
        <f>VLOOKUP($L$4, Khung_KeHoach_Chuan!$A$5:$H$7, 4, FALSE)</f>
        <v>2027-01-05</v>
      </c>
      <c r="H8" s="1"/>
      <c r="I8" s="1"/>
      <c r="J8" s="38"/>
    </row>
    <row r="9" spans="1:12" ht="57">
      <c r="A9" s="22" t="s">
        <v>502</v>
      </c>
      <c r="B9" s="1"/>
      <c r="C9" s="26" t="str">
        <f>VLOOKUP($L$4, Khung_KeHoach_Chuan!$A$5:$H$7, 5, FALSE)</f>
        <v>2027-01-25</v>
      </c>
      <c r="D9" s="1"/>
      <c r="E9" s="1"/>
      <c r="F9" s="22" t="s">
        <v>503</v>
      </c>
      <c r="G9" s="27" t="str">
        <f>VLOOKUP($L$4, Khung_KeHoach_Chuan!$A$5:$H$7, 7, FALSE)</f>
        <v>03/03/2027 – 06/03/2027</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0</v>
      </c>
      <c r="C13" s="3">
        <f>COUNTIF(I16:I42, "Đang thực hiện") + IF($C$10&lt;&gt;"", COUNTIF(I45:I71, "Đang thực hiện"), 0)</f>
        <v>0</v>
      </c>
      <c r="D13" s="4">
        <f>COUNTIF(I16:I42, "Chưa bắt đầu") + IF($C$10&lt;&gt;"", COUNTIF(I45:I71, "Chưa bắt đầu"), 0)</f>
        <v>27</v>
      </c>
      <c r="E13" s="4"/>
      <c r="F13" s="29">
        <f>COUNTIF(I16:I42, "Tạm hoãn - Bị chặn") + IF($C$10&lt;&gt;"", COUNTIF(I45:I71, "Tạm hoãn - Bị chặn"), 0)</f>
        <v>0</v>
      </c>
      <c r="G13" s="28" t="str">
        <f>G8</f>
        <v>2027-01-05</v>
      </c>
      <c r="H13" s="30">
        <f>B13/A13</f>
        <v>0</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28.5">
      <c r="A16" s="9">
        <v>1</v>
      </c>
      <c r="B16" s="10" t="str">
        <f>VLOOKUP($L$4&amp;"_"&amp;$A16, Khung_KeHoach_Chuan!$A$11:$J$91, 4, FALSE)</f>
        <v>I. ĐỊNH HƯỚNG &amp; PHƯƠNG PHÁP LUẬN</v>
      </c>
      <c r="C16" s="17" t="str">
        <f>VLOOKUP($L$4&amp;"_"&amp;$A16, Khung_KeHoach_Chuan!$A$11:$J$91, 5, FALSE)</f>
        <v>Xác định vấn đề nghiên cứu khoa học trong SDN/SD-WAN ứng dụng ML</v>
      </c>
      <c r="D16" s="33" t="str">
        <f>VLOOKUP($L$4&amp;"_"&amp;$A16, Khung_KeHoach_Chuan!$A$11:$J$91, 6, FALSE)</f>
        <v>Research gap, giả thuyết &amp; câu hỏi nghiên cứu về tối ưu/bảo mật mạng bằng ML</v>
      </c>
      <c r="E16" s="35"/>
      <c r="F16" s="11" t="str">
        <f>VLOOKUP($L$4&amp;"_"&amp;$A16, Khung_KeHoach_Chuan!$A$11:$J$91, 7, FALSE)</f>
        <v>2026-08-06</v>
      </c>
      <c r="G16" s="11" t="str">
        <f>VLOOKUP($L$4&amp;"_"&amp;$A16, Khung_KeHoach_Chuan!$A$11:$J$91, 8, FALSE)</f>
        <v>2026-08-20</v>
      </c>
      <c r="H16" s="10" t="str">
        <f>VLOOKUP($L$4&amp;"_"&amp;$A16, Khung_KeHoach_Chuan!$A$11:$J$91, 9, FALSE)</f>
        <v>Research Proposal + Problem Formulation (SDN/SD-WAN + ML)</v>
      </c>
      <c r="I16" s="11" t="s">
        <v>518</v>
      </c>
      <c r="J16" s="10"/>
    </row>
    <row r="17" spans="1:10" ht="28.5">
      <c r="A17" s="13">
        <v>2</v>
      </c>
      <c r="B17" s="14" t="str">
        <f>VLOOKUP($L$4&amp;"_"&amp;$A17, Khung_KeHoach_Chuan!$A$11:$J$91, 4, FALSE)</f>
        <v>I. ĐỊNH HƯỚNG &amp; PHƯƠNG PHÁP LUẬN</v>
      </c>
      <c r="C17" s="16" t="str">
        <f>VLOOKUP($L$4&amp;"_"&amp;$A17, Khung_KeHoach_Chuan!$A$11:$J$91, 5, FALSE)</f>
        <v>Khảo sát tài liệu học thuật chuyên sâu (State-of-the-Art Review)</v>
      </c>
      <c r="D17" s="33" t="str">
        <f>VLOOKUP($L$4&amp;"_"&amp;$A17, Khung_KeHoach_Chuan!$A$11:$J$91, 6, FALSE)</f>
        <v>Bài báo ISI/Scopus về SDN/SD-WAN &amp; ML; ma trận so sánh phương pháp hiện hành</v>
      </c>
      <c r="E17" s="35"/>
      <c r="F17" s="15" t="str">
        <f>VLOOKUP($L$4&amp;"_"&amp;$A17, Khung_KeHoach_Chuan!$A$11:$J$91, 7, FALSE)</f>
        <v>2026-08-15</v>
      </c>
      <c r="G17" s="15" t="str">
        <f>VLOOKUP($L$4&amp;"_"&amp;$A17, Khung_KeHoach_Chuan!$A$11:$J$91, 8, FALSE)</f>
        <v>2026-09-05</v>
      </c>
      <c r="H17" s="14" t="str">
        <f>VLOOKUP($L$4&amp;"_"&amp;$A17, Khung_KeHoach_Chuan!$A$11:$J$91, 9, FALSE)</f>
        <v>Comprehensive Literature Review + Related Works Matrix</v>
      </c>
      <c r="I17" s="15" t="s">
        <v>518</v>
      </c>
      <c r="J17" s="14"/>
    </row>
    <row r="18" spans="1:10" ht="28.5">
      <c r="A18" s="9">
        <v>3</v>
      </c>
      <c r="B18" s="10" t="str">
        <f>VLOOKUP($L$4&amp;"_"&amp;$A18, Khung_KeHoach_Chuan!$A$11:$J$91, 4, FALSE)</f>
        <v>I. ĐỊNH HƯỚNG &amp; PHƯƠNG PHÁP LUẬN</v>
      </c>
      <c r="C18" s="17" t="str">
        <f>VLOOKUP($L$4&amp;"_"&amp;$A18, Khung_KeHoach_Chuan!$A$11:$J$91, 5, FALSE)</f>
        <v>Đề xuất mô hình/thuật toán ML cải tiến cho SDN/SD-WAN</v>
      </c>
      <c r="D18" s="33" t="str">
        <f>VLOOKUP($L$4&amp;"_"&amp;$A18, Khung_KeHoach_Chuan!$A$11:$J$91, 6, FALSE)</f>
        <v>Cơ sở toán học, kiến trúc mô hình đề xuất (Deep Learning/Reinforcement Learning cho định tuyến/bảo mật)</v>
      </c>
      <c r="E18" s="35"/>
      <c r="F18" s="11" t="str">
        <f>VLOOKUP($L$4&amp;"_"&amp;$A18, Khung_KeHoach_Chuan!$A$11:$J$91, 7, FALSE)</f>
        <v>2026-09-01</v>
      </c>
      <c r="G18" s="11" t="str">
        <f>VLOOKUP($L$4&amp;"_"&amp;$A18, Khung_KeHoach_Chuan!$A$11:$J$91, 8, FALSE)</f>
        <v>2026-09-18</v>
      </c>
      <c r="H18" s="10" t="str">
        <f>VLOOKUP($L$4&amp;"_"&amp;$A18, Khung_KeHoach_Chuan!$A$11:$J$91, 9, FALSE)</f>
        <v>Theoretical Framework + Methodology Design Specification</v>
      </c>
      <c r="I18" s="11" t="s">
        <v>518</v>
      </c>
      <c r="J18" s="10"/>
    </row>
    <row r="19" spans="1:10" ht="28.5">
      <c r="A19" s="13">
        <v>4</v>
      </c>
      <c r="B19" s="14" t="str">
        <f>VLOOKUP($L$4&amp;"_"&amp;$A19, Khung_KeHoach_Chuan!$A$11:$J$91, 4, FALSE)</f>
        <v>I. ĐỊNH HƯỚNG &amp; PHƯƠNG PHÁP LUẬN</v>
      </c>
      <c r="C19" s="16" t="str">
        <f>VLOOKUP($L$4&amp;"_"&amp;$A19, Khung_KeHoach_Chuan!$A$11:$J$91, 5, FALSE)</f>
        <v>Lập kế hoạch nghiên cứu 25 tuần, quản trị tài nguyên &amp; rủi ro</v>
      </c>
      <c r="D19" s="33" t="str">
        <f>VLOOKUP($L$4&amp;"_"&amp;$A19, Khung_KeHoach_Chuan!$A$11:$J$91, 6, FALSE)</f>
        <v>Lộ trình nghiên cứu, Git repo, Overleaf/LaTeX, quản lý tài liệu tham khảo</v>
      </c>
      <c r="E19" s="35"/>
      <c r="F19" s="15" t="str">
        <f>VLOOKUP($L$4&amp;"_"&amp;$A19, Khung_KeHoach_Chuan!$A$11:$J$91, 7, FALSE)</f>
        <v>2026-09-05</v>
      </c>
      <c r="G19" s="15" t="str">
        <f>VLOOKUP($L$4&amp;"_"&amp;$A19, Khung_KeHoach_Chuan!$A$11:$J$91, 8, FALSE)</f>
        <v>2026-09-20</v>
      </c>
      <c r="H19" s="14" t="str">
        <f>VLOOKUP($L$4&amp;"_"&amp;$A19, Khung_KeHoach_Chuan!$A$11:$J$91, 9, FALSE)</f>
        <v>Research Roadmap + LaTeX Workspace + Citation Library</v>
      </c>
      <c r="I19" s="15" t="s">
        <v>518</v>
      </c>
      <c r="J19" s="14"/>
    </row>
    <row r="20" spans="1:10" ht="28.5">
      <c r="A20" s="9">
        <v>5</v>
      </c>
      <c r="B20" s="10" t="str">
        <f>VLOOKUP($L$4&amp;"_"&amp;$A20, Khung_KeHoach_Chuan!$A$11:$J$91, 4, FALSE)</f>
        <v>II. THIẾT KẾ &amp; CHUẨN BỊ</v>
      </c>
      <c r="C20" s="17" t="str">
        <f>VLOOKUP($L$4&amp;"_"&amp;$A20, Khung_KeHoach_Chuan!$A$11:$J$91, 5, FALSE)</f>
        <v>Mô hình hóa thuật toán &amp; thiết kế kiến trúc giải pháp SDN/SD-WAN + ML</v>
      </c>
      <c r="D20" s="33" t="str">
        <f>VLOOKUP($L$4&amp;"_"&amp;$A20, Khung_KeHoach_Chuan!$A$11:$J$91, 6, FALSE)</f>
        <v>Đặc tả toán học, sơ đồ khối thuật toán, pipeline xử lý dữ liệu, kiến trúc mô hình</v>
      </c>
      <c r="E20" s="35"/>
      <c r="F20" s="11" t="str">
        <f>VLOOKUP($L$4&amp;"_"&amp;$A20, Khung_KeHoach_Chuan!$A$11:$J$91, 7, FALSE)</f>
        <v>2026-09-15</v>
      </c>
      <c r="G20" s="11" t="str">
        <f>VLOOKUP($L$4&amp;"_"&amp;$A20, Khung_KeHoach_Chuan!$A$11:$J$91, 8, FALSE)</f>
        <v>2026-10-05</v>
      </c>
      <c r="H20" s="10" t="str">
        <f>VLOOKUP($L$4&amp;"_"&amp;$A20, Khung_KeHoach_Chuan!$A$11:$J$91, 9, FALSE)</f>
        <v>Detailed Algorithm Design + Mathematical Formulation</v>
      </c>
      <c r="I20" s="11" t="s">
        <v>518</v>
      </c>
      <c r="J20" s="10"/>
    </row>
    <row r="21" spans="1:10" ht="28.5">
      <c r="A21" s="13">
        <v>6</v>
      </c>
      <c r="B21" s="14" t="str">
        <f>VLOOKUP($L$4&amp;"_"&amp;$A21, Khung_KeHoach_Chuan!$A$11:$J$91, 4, FALSE)</f>
        <v>II. THIẾT KẾ &amp; CHUẨN BỊ</v>
      </c>
      <c r="C21" s="16" t="str">
        <f>VLOOKUP($L$4&amp;"_"&amp;$A21, Khung_KeHoach_Chuan!$A$11:$J$91, 5, FALSE)</f>
        <v>Chuẩn bị Dataset chuẩn, hạ tầng GPU &amp; pipeline tiền xử lý</v>
      </c>
      <c r="D21" s="33" t="str">
        <f>VLOOKUP($L$4&amp;"_"&amp;$A21, Khung_KeHoach_Chuan!$A$11:$J$91, 6, FALSE)</f>
        <v>Dataset traffic/SDN chuẩn quốc tế (benchmark), tiền xử lý, trích chọn đặc trưng, chia train/val/test</v>
      </c>
      <c r="E21" s="35"/>
      <c r="F21" s="15" t="str">
        <f>VLOOKUP($L$4&amp;"_"&amp;$A21, Khung_KeHoach_Chuan!$A$11:$J$91, 7, FALSE)</f>
        <v>2026-09-20</v>
      </c>
      <c r="G21" s="15" t="str">
        <f>VLOOKUP($L$4&amp;"_"&amp;$A21, Khung_KeHoach_Chuan!$A$11:$J$91, 8, FALSE)</f>
        <v>2026-10-10</v>
      </c>
      <c r="H21" s="14" t="str">
        <f>VLOOKUP($L$4&amp;"_"&amp;$A21, Khung_KeHoach_Chuan!$A$11:$J$91, 9, FALSE)</f>
        <v>Benchmark Dataset đã tiền xử lý + Pipeline mã nguồn</v>
      </c>
      <c r="I21" s="15" t="s">
        <v>518</v>
      </c>
      <c r="J21" s="14"/>
    </row>
    <row r="22" spans="1:10" ht="28.5">
      <c r="A22" s="9">
        <v>7</v>
      </c>
      <c r="B22" s="10" t="str">
        <f>VLOOKUP($L$4&amp;"_"&amp;$A22, Khung_KeHoach_Chuan!$A$11:$J$91, 4, FALSE)</f>
        <v>II. THIẾT KẾ &amp; CHUẨN BỊ</v>
      </c>
      <c r="C22" s="17" t="str">
        <f>VLOOKUP($L$4&amp;"_"&amp;$A22, Khung_KeHoach_Chuan!$A$11:$J$91, 5, FALSE)</f>
        <v>Thiết lập kịch bản thực nghiệm, độ đo khoa học &amp; Baselines</v>
      </c>
      <c r="D22" s="33" t="str">
        <f>VLOOKUP($L$4&amp;"_"&amp;$A22, Khung_KeHoach_Chuan!$A$11:$J$91, 6, FALSE)</f>
        <v>Mô hình baseline State-of-the-Art, metric chuẩn (Precision, Recall, F1, ROC-AUC, Delay)</v>
      </c>
      <c r="E22" s="35"/>
      <c r="F22" s="11" t="str">
        <f>VLOOKUP($L$4&amp;"_"&amp;$A22, Khung_KeHoach_Chuan!$A$11:$J$91, 7, FALSE)</f>
        <v>2026-10-01</v>
      </c>
      <c r="G22" s="11" t="str">
        <f>VLOOKUP($L$4&amp;"_"&amp;$A22, Khung_KeHoach_Chuan!$A$11:$J$91, 8, FALSE)</f>
        <v>2026-10-15</v>
      </c>
      <c r="H22" s="10" t="str">
        <f>VLOOKUP($L$4&amp;"_"&amp;$A22, Khung_KeHoach_Chuan!$A$11:$J$91, 9, FALSE)</f>
        <v>Experimental Setup Document + Benchmark Protocol</v>
      </c>
      <c r="I22" s="11" t="s">
        <v>518</v>
      </c>
      <c r="J22" s="10"/>
    </row>
    <row r="23" spans="1:10" ht="28.5">
      <c r="A23" s="13">
        <v>8</v>
      </c>
      <c r="B23" s="14" t="str">
        <f>VLOOKUP($L$4&amp;"_"&amp;$A23, Khung_KeHoach_Chuan!$A$11:$J$91, 4, FALSE)</f>
        <v>II. THIẾT KẾ &amp; CHUẨN BỊ</v>
      </c>
      <c r="C23" s="16" t="str">
        <f>VLOOKUP($L$4&amp;"_"&amp;$A23, Khung_KeHoach_Chuan!$A$11:$J$91, 5, FALSE)</f>
        <v>Thực hiện PoC &amp; xác minh giả thuyết ban đầu</v>
      </c>
      <c r="D23" s="33" t="str">
        <f>VLOOKUP($L$4&amp;"_"&amp;$A23, Khung_KeHoach_Chuan!$A$11:$J$91, 6, FALSE)</f>
        <v>Chạy thử giải thuật đề xuất trên tập mẫu để xác minh tính đúng đắn của giả thuyết</v>
      </c>
      <c r="E23" s="35"/>
      <c r="F23" s="15" t="str">
        <f>VLOOKUP($L$4&amp;"_"&amp;$A23, Khung_KeHoach_Chuan!$A$11:$J$91, 7, FALSE)</f>
        <v>2026-10-05</v>
      </c>
      <c r="G23" s="15" t="str">
        <f>VLOOKUP($L$4&amp;"_"&amp;$A23, Khung_KeHoach_Chuan!$A$11:$J$91, 8, FALSE)</f>
        <v>2026-10-20</v>
      </c>
      <c r="H23" s="14" t="str">
        <f>VLOOKUP($L$4&amp;"_"&amp;$A23, Khung_KeHoach_Chuan!$A$11:$J$91, 9, FALSE)</f>
        <v>Báo cáo PoC + Kết quả kiểm chứng giả thuyết ban đầu</v>
      </c>
      <c r="I23" s="15" t="s">
        <v>518</v>
      </c>
      <c r="J23" s="14"/>
    </row>
    <row r="24" spans="1:10" ht="28.5">
      <c r="A24" s="9">
        <v>9</v>
      </c>
      <c r="B24" s="10" t="str">
        <f>VLOOKUP($L$4&amp;"_"&amp;$A24, Khung_KeHoach_Chuan!$A$11:$J$91, 4, FALSE)</f>
        <v>III. TRIỂN KHAI / THỰC NGHIỆM</v>
      </c>
      <c r="C24" s="17" t="str">
        <f>VLOOKUP($L$4&amp;"_"&amp;$A24, Khung_KeHoach_Chuan!$A$11:$J$91, 5, FALSE)</f>
        <v>Triển khai cài đặt mô hình/thuật toán ML đề xuất cho SDN/SD-WAN</v>
      </c>
      <c r="D24" s="33" t="str">
        <f>VLOOKUP($L$4&amp;"_"&amp;$A24, Khung_KeHoach_Chuan!$A$11:$J$91, 6, FALSE)</f>
        <v>Lập trình cài đặt hoàn chỉnh thuật toán đề xuất; tinh chỉnh hyperparameter tuning</v>
      </c>
      <c r="E24" s="35"/>
      <c r="F24" s="11" t="str">
        <f>VLOOKUP($L$4&amp;"_"&amp;$A24, Khung_KeHoach_Chuan!$A$11:$J$91, 7, FALSE)</f>
        <v>2026-10-15</v>
      </c>
      <c r="G24" s="11" t="str">
        <f>VLOOKUP($L$4&amp;"_"&amp;$A24, Khung_KeHoach_Chuan!$A$11:$J$91, 8, FALSE)</f>
        <v>2026-11-05</v>
      </c>
      <c r="H24" s="10" t="str">
        <f>VLOOKUP($L$4&amp;"_"&amp;$A24, Khung_KeHoach_Chuan!$A$11:$J$91, 9, FALSE)</f>
        <v>Source code hoàn chỉnh của mô hình đề xuất</v>
      </c>
      <c r="I24" s="11" t="s">
        <v>518</v>
      </c>
      <c r="J24" s="10"/>
    </row>
    <row r="25" spans="1:10" ht="28.5">
      <c r="A25" s="19">
        <v>10</v>
      </c>
      <c r="B25" s="21" t="str">
        <f>VLOOKUP($L$4&amp;"_"&amp;$A25, Khung_KeHoach_Chuan!$A$11:$J$91, 4, FALSE)</f>
        <v>III. TRIỂN KHAI / THỰC NGHIỆM</v>
      </c>
      <c r="C25" s="31" t="str">
        <f>VLOOKUP($L$4&amp;"_"&amp;$A25, Khung_KeHoach_Chuan!$A$11:$J$91, 5, FALSE)</f>
        <v>BÁO CÁO TIẾN ĐỘ THỰC HIỆN KLTN GIỮA KỲ (MỐC KHOA)</v>
      </c>
      <c r="D25" s="33" t="str">
        <f>VLOOKUP($L$4&amp;"_"&amp;$A25, Khung_KeHoach_Chuan!$A$11:$J$91, 6, FALSE)</f>
        <v>Nộp phiếu theo dõi có nhận xét &amp; chữ ký GVHD sau 6 tuần</v>
      </c>
      <c r="E25" s="35"/>
      <c r="F25" s="20" t="str">
        <f>VLOOKUP($L$4&amp;"_"&amp;$A25, Khung_KeHoach_Chuan!$A$11:$J$91, 7, FALSE)</f>
        <v>2026-10-29</v>
      </c>
      <c r="G25" s="20" t="str">
        <f>VLOOKUP($L$4&amp;"_"&amp;$A25, Khung_KeHoach_Chuan!$A$11:$J$91, 8, FALSE)</f>
        <v>2026-11-12</v>
      </c>
      <c r="H25" s="21" t="str">
        <f>VLOOKUP($L$4&amp;"_"&amp;$A25, Khung_KeHoach_Chuan!$A$11:$J$91, 9, FALSE)</f>
        <v>Phiếu theo dõi có chữ ký GVHD + Báo cáo giữa kỳ ELIT</v>
      </c>
      <c r="I25" s="20" t="s">
        <v>518</v>
      </c>
      <c r="J25" s="21"/>
    </row>
    <row r="26" spans="1:10" ht="28.5">
      <c r="A26" s="9">
        <v>11</v>
      </c>
      <c r="B26" s="10" t="str">
        <f>VLOOKUP($L$4&amp;"_"&amp;$A26, Khung_KeHoach_Chuan!$A$11:$J$91, 4, FALSE)</f>
        <v>III. TRIỂN KHAI / THỰC NGHIỆM</v>
      </c>
      <c r="C26" s="17" t="str">
        <f>VLOOKUP($L$4&amp;"_"&amp;$A26, Khung_KeHoach_Chuan!$A$11:$J$91, 5, FALSE)</f>
        <v>Cài đặt &amp; chạy lại các mô hình đối chứng (Baseline Models)</v>
      </c>
      <c r="D26" s="33" t="str">
        <f>VLOOKUP($L$4&amp;"_"&amp;$A26, Khung_KeHoach_Chuan!$A$11:$J$91, 6, FALSE)</f>
        <v>Triển khai lại giải pháp của các tác giả trước trên cùng điều kiện/dataset để đảm bảo công bằng</v>
      </c>
      <c r="E26" s="35"/>
      <c r="F26" s="11" t="str">
        <f>VLOOKUP($L$4&amp;"_"&amp;$A26, Khung_KeHoach_Chuan!$A$11:$J$91, 7, FALSE)</f>
        <v>2026-11-05</v>
      </c>
      <c r="G26" s="11" t="str">
        <f>VLOOKUP($L$4&amp;"_"&amp;$A26, Khung_KeHoach_Chuan!$A$11:$J$91, 8, FALSE)</f>
        <v>2026-11-25</v>
      </c>
      <c r="H26" s="10" t="str">
        <f>VLOOKUP($L$4&amp;"_"&amp;$A26, Khung_KeHoach_Chuan!$A$11:$J$91, 9, FALSE)</f>
        <v>Bộ mã nguồn và kết quả của các mô hình Baseline</v>
      </c>
      <c r="I26" s="11" t="s">
        <v>518</v>
      </c>
      <c r="J26" s="10"/>
    </row>
    <row r="27" spans="1:10" ht="28.5">
      <c r="A27" s="13">
        <v>12</v>
      </c>
      <c r="B27" s="14" t="str">
        <f>VLOOKUP($L$4&amp;"_"&amp;$A27, Khung_KeHoach_Chuan!$A$11:$J$91, 4, FALSE)</f>
        <v>III. TRIỂN KHAI / THỰC NGHIỆM</v>
      </c>
      <c r="C27" s="16" t="str">
        <f>VLOOKUP($L$4&amp;"_"&amp;$A27, Khung_KeHoach_Chuan!$A$11:$J$91, 5, FALSE)</f>
        <v>Chạy thực nghiệm diện rộng, Cross-validation &amp; Stress-test</v>
      </c>
      <c r="D27" s="33" t="str">
        <f>VLOOKUP($L$4&amp;"_"&amp;$A27, Khung_KeHoach_Chuan!$A$11:$J$91, 6, FALSE)</f>
        <v>Lặp lại k-fold cross-validation, kiểm tra độ ổn định và tài nguyên tiêu thụ của mô hình</v>
      </c>
      <c r="E27" s="35"/>
      <c r="F27" s="15" t="str">
        <f>VLOOKUP($L$4&amp;"_"&amp;$A27, Khung_KeHoach_Chuan!$A$11:$J$91, 7, FALSE)</f>
        <v>2026-11-20</v>
      </c>
      <c r="G27" s="15" t="str">
        <f>VLOOKUP($L$4&amp;"_"&amp;$A27, Khung_KeHoach_Chuan!$A$11:$J$91, 8, FALSE)</f>
        <v>2026-12-10</v>
      </c>
      <c r="H27" s="14" t="str">
        <f>VLOOKUP($L$4&amp;"_"&amp;$A27, Khung_KeHoach_Chuan!$A$11:$J$91, 9, FALSE)</f>
        <v>Dữ liệu thực nghiệm đầy đủ (Comprehensive Result Set)</v>
      </c>
      <c r="I27" s="15" t="s">
        <v>518</v>
      </c>
      <c r="J27" s="14"/>
    </row>
    <row r="28" spans="1:10" ht="28.5">
      <c r="A28" s="9">
        <v>13</v>
      </c>
      <c r="B28" s="10" t="str">
        <f>VLOOKUP($L$4&amp;"_"&amp;$A28, Khung_KeHoach_Chuan!$A$11:$J$91, 4, FALSE)</f>
        <v>III. TRIỂN KHAI / THỰC NGHIỆM</v>
      </c>
      <c r="C28" s="17" t="str">
        <f>VLOOKUP($L$4&amp;"_"&amp;$A28, Khung_KeHoach_Chuan!$A$11:$J$91, 5, FALSE)</f>
        <v>Duy trì Research Logbook, Git commit &amp; Raw Experimental Data</v>
      </c>
      <c r="D28" s="33" t="str">
        <f>VLOOKUP($L$4&amp;"_"&amp;$A28, Khung_KeHoach_Chuan!$A$11:$J$91, 6, FALSE)</f>
        <v>Lữu logs huấn luyện, checkpoints, raw outputs đảm bảo tính tái lập (Reproducibility)</v>
      </c>
      <c r="E28" s="35"/>
      <c r="F28" s="11" t="str">
        <f>VLOOKUP($L$4&amp;"_"&amp;$A28, Khung_KeHoach_Chuan!$A$11:$J$91, 7, FALSE)</f>
        <v>2026-08-06</v>
      </c>
      <c r="G28" s="11" t="str">
        <f>VLOOKUP($L$4&amp;"_"&amp;$A28, Khung_KeHoach_Chuan!$A$11:$J$91, 8, FALSE)</f>
        <v>2026-12-20</v>
      </c>
      <c r="H28" s="10" t="str">
        <f>VLOOKUP($L$4&amp;"_"&amp;$A28, Khung_KeHoach_Chuan!$A$11:$J$91, 9, FALSE)</f>
        <v>Research Logbook + Evidence Folder + Model Checkpoints</v>
      </c>
      <c r="I28" s="11" t="s">
        <v>518</v>
      </c>
      <c r="J28" s="10"/>
    </row>
    <row r="29" spans="1:10" ht="28.5">
      <c r="A29" s="13">
        <v>14</v>
      </c>
      <c r="B29" s="14" t="str">
        <f>VLOOKUP($L$4&amp;"_"&amp;$A29, Khung_KeHoach_Chuan!$A$11:$J$91, 4, FALSE)</f>
        <v>IV. KIỂM THỬ &amp; ĐÁNH GIÁ</v>
      </c>
      <c r="C29" s="16" t="str">
        <f>VLOOKUP($L$4&amp;"_"&amp;$A29, Khung_KeHoach_Chuan!$A$11:$J$91, 5, FALSE)</f>
        <v>Tổng hợp số liệu thực nghiệm &amp; phân tích thống kê</v>
      </c>
      <c r="D29" s="33" t="str">
        <f>VLOOKUP($L$4&amp;"_"&amp;$A29, Khung_KeHoach_Chuan!$A$11:$J$91, 6, FALSE)</f>
        <v>Kiểm định ý nghĩa thống kê (t-test/ANOVA/Wilcoxon) để chứng minh tính vượt trội</v>
      </c>
      <c r="E29" s="35"/>
      <c r="F29" s="15" t="str">
        <f>VLOOKUP($L$4&amp;"_"&amp;$A29, Khung_KeHoach_Chuan!$A$11:$J$91, 7, FALSE)</f>
        <v>2026-12-01</v>
      </c>
      <c r="G29" s="15" t="str">
        <f>VLOOKUP($L$4&amp;"_"&amp;$A29, Khung_KeHoach_Chuan!$A$11:$J$91, 8, FALSE)</f>
        <v>2026-12-15</v>
      </c>
      <c r="H29" s="14" t="str">
        <f>VLOOKUP($L$4&amp;"_"&amp;$A29, Khung_KeHoach_Chuan!$A$11:$J$91, 9, FALSE)</f>
        <v>Bảng thống kê định lượng &amp; Kết quả kiểm định thống kê</v>
      </c>
      <c r="I29" s="15" t="s">
        <v>518</v>
      </c>
      <c r="J29" s="14"/>
    </row>
    <row r="30" spans="1:10" ht="28.5">
      <c r="A30" s="9">
        <v>15</v>
      </c>
      <c r="B30" s="10" t="str">
        <f>VLOOKUP($L$4&amp;"_"&amp;$A30, Khung_KeHoach_Chuan!$A$11:$J$91, 4, FALSE)</f>
        <v>IV. KIỂM THỬ &amp; ĐÁNH GIÁ</v>
      </c>
      <c r="C30" s="17" t="str">
        <f>VLOOKUP($L$4&amp;"_"&amp;$A30, Khung_KeHoach_Chuan!$A$11:$J$91, 5, FALSE)</f>
        <v>Ablation Study (Phân tích đóng góp của từng thành phần)</v>
      </c>
      <c r="D30" s="33" t="str">
        <f>VLOOKUP($L$4&amp;"_"&amp;$A30, Khung_KeHoach_Chuan!$A$11:$J$91, 6, FALSE)</f>
        <v>Thực nghiệm loại trừ từng thành phần mô hình để chứng minh giá trị đóng góp</v>
      </c>
      <c r="E30" s="35"/>
      <c r="F30" s="11" t="str">
        <f>VLOOKUP($L$4&amp;"_"&amp;$A30, Khung_KeHoach_Chuan!$A$11:$J$91, 7, FALSE)</f>
        <v>2026-12-10</v>
      </c>
      <c r="G30" s="11" t="str">
        <f>VLOOKUP($L$4&amp;"_"&amp;$A30, Khung_KeHoach_Chuan!$A$11:$J$91, 8, FALSE)</f>
        <v>2026-12-20</v>
      </c>
      <c r="H30" s="10" t="str">
        <f>VLOOKUP($L$4&amp;"_"&amp;$A30, Khung_KeHoach_Chuan!$A$11:$J$91, 9, FALSE)</f>
        <v>Báo cáo phân tích Ablation Study chuyên sâu</v>
      </c>
      <c r="I30" s="11" t="s">
        <v>518</v>
      </c>
      <c r="J30" s="10"/>
    </row>
    <row r="31" spans="1:10" ht="28.5">
      <c r="A31" s="13">
        <v>16</v>
      </c>
      <c r="B31" s="14" t="str">
        <f>VLOOKUP($L$4&amp;"_"&amp;$A31, Khung_KeHoach_Chuan!$A$11:$J$91, 4, FALSE)</f>
        <v>IV. KIỂM THỬ &amp; ĐÁNH GIÁ</v>
      </c>
      <c r="C31" s="16" t="str">
        <f>VLOOKUP($L$4&amp;"_"&amp;$A31, Khung_KeHoach_Chuan!$A$11:$J$91, 5, FALSE)</f>
        <v>Trực quan hóa kết quả nghiên cứu &amp; so sánh State-of-the-Art</v>
      </c>
      <c r="D31" s="33" t="str">
        <f>VLOOKUP($L$4&amp;"_"&amp;$A31, Khung_KeHoach_Chuan!$A$11:$J$91, 6, FALSE)</f>
        <v>Biểu đồ chuẩn xuất bản khoa học (Confusion Matrix, Loss curves, Trade-off analysis)</v>
      </c>
      <c r="E31" s="35"/>
      <c r="F31" s="15" t="str">
        <f>VLOOKUP($L$4&amp;"_"&amp;$A31, Khung_KeHoach_Chuan!$A$11:$J$91, 7, FALSE)</f>
        <v>2026-12-15</v>
      </c>
      <c r="G31" s="15" t="str">
        <f>VLOOKUP($L$4&amp;"_"&amp;$A31, Khung_KeHoach_Chuan!$A$11:$J$91, 8, FALSE)</f>
        <v>2026-12-28</v>
      </c>
      <c r="H31" s="14" t="str">
        <f>VLOOKUP($L$4&amp;"_"&amp;$A31, Khung_KeHoach_Chuan!$A$11:$J$91, 9, FALSE)</f>
        <v>Bộ hình vẽ &amp; biểu đồ đạt chuẩn xuất bản quốc tế</v>
      </c>
      <c r="I31" s="15" t="s">
        <v>518</v>
      </c>
      <c r="J31" s="14"/>
    </row>
    <row r="32" spans="1:10" ht="28.5">
      <c r="A32" s="9">
        <v>17</v>
      </c>
      <c r="B32" s="10" t="str">
        <f>VLOOKUP($L$4&amp;"_"&amp;$A32, Khung_KeHoach_Chuan!$A$11:$J$91, 4, FALSE)</f>
        <v>IV. KIỂM THỬ &amp; ĐÁNH GIÁ</v>
      </c>
      <c r="C32" s="17" t="str">
        <f>VLOOKUP($L$4&amp;"_"&amp;$A32, Khung_KeHoach_Chuan!$A$11:$J$91, 5, FALSE)</f>
        <v>Thảo luận kết quả (Discussion), đóng góp mới &amp; hạn chế</v>
      </c>
      <c r="D32" s="33" t="str">
        <f>VLOOKUP($L$4&amp;"_"&amp;$A32, Khung_KeHoach_Chuan!$A$11:$J$91, 6, FALSE)</f>
        <v>Lý giải tại sao mô hình đạt hiệu quả cao, phân tích case lỗi (error analysis), giới hạn nghiên cứu</v>
      </c>
      <c r="E32" s="35"/>
      <c r="F32" s="11" t="str">
        <f>VLOOKUP($L$4&amp;"_"&amp;$A32, Khung_KeHoach_Chuan!$A$11:$J$91, 7, FALSE)</f>
        <v>2026-12-20</v>
      </c>
      <c r="G32" s="11" t="str">
        <f>VLOOKUP($L$4&amp;"_"&amp;$A32, Khung_KeHoach_Chuan!$A$11:$J$91, 8, FALSE)</f>
        <v>2027-01-05</v>
      </c>
      <c r="H32" s="10" t="str">
        <f>VLOOKUP($L$4&amp;"_"&amp;$A32, Khung_KeHoach_Chuan!$A$11:$J$91, 9, FALSE)</f>
        <v>Chương Thảo luận &amp; Phân tích đóng góp học thuật</v>
      </c>
      <c r="I32" s="11" t="s">
        <v>518</v>
      </c>
      <c r="J32" s="10"/>
    </row>
    <row r="33" spans="1:10" ht="28.5">
      <c r="A33" s="13">
        <v>18</v>
      </c>
      <c r="B33" s="14" t="str">
        <f>VLOOKUP($L$4&amp;"_"&amp;$A33, Khung_KeHoach_Chuan!$A$11:$J$91, 4, FALSE)</f>
        <v>V. VIẾT &amp; HOÀN THIỆN BÁO CÁO</v>
      </c>
      <c r="C33" s="16" t="str">
        <f>VLOOKUP($L$4&amp;"_"&amp;$A33, Khung_KeHoach_Chuan!$A$11:$J$91, 5, FALSE)</f>
        <v>Soạn thảo Chương 1, 2, 3 (Introduction, Background)</v>
      </c>
      <c r="D33" s="33" t="str">
        <f>VLOOKUP($L$4&amp;"_"&amp;$A33, Khung_KeHoach_Chuan!$A$11:$J$91, 6, FALSE)</f>
        <v>Introduction, Literature Review, Methodology theo chuẩn cấu trúc Khóa luận tốt nghiệp</v>
      </c>
      <c r="E33" s="35"/>
      <c r="F33" s="15" t="str">
        <f>VLOOKUP($L$4&amp;"_"&amp;$A33, Khung_KeHoach_Chuan!$A$11:$J$91, 7, FALSE)</f>
        <v>2026-11-15</v>
      </c>
      <c r="G33" s="15" t="str">
        <f>VLOOKUP($L$4&amp;"_"&amp;$A33, Khung_KeHoach_Chuan!$A$11:$J$91, 8, FALSE)</f>
        <v>2026-12-15</v>
      </c>
      <c r="H33" s="14" t="str">
        <f>VLOOKUP($L$4&amp;"_"&amp;$A33, Khung_KeHoach_Chuan!$A$11:$J$91, 9, FALSE)</f>
        <v>Bản thảo Chương 1, 2, 3 hoàn chỉnh</v>
      </c>
      <c r="I33" s="15" t="s">
        <v>518</v>
      </c>
      <c r="J33" s="14"/>
    </row>
    <row r="34" spans="1:10" ht="28.5">
      <c r="A34" s="9">
        <v>19</v>
      </c>
      <c r="B34" s="10" t="str">
        <f>VLOOKUP($L$4&amp;"_"&amp;$A34, Khung_KeHoach_Chuan!$A$11:$J$91, 4, FALSE)</f>
        <v>V. VIẾT &amp; HOÀN THIỆN BÁO CÁO</v>
      </c>
      <c r="C34" s="17" t="str">
        <f>VLOOKUP($L$4&amp;"_"&amp;$A34, Khung_KeHoach_Chuan!$A$11:$J$91, 5, FALSE)</f>
        <v>Soạn thảo Chương Thực nghiệm, Kết quả &amp; Thảo luận (Chương 4, 5)</v>
      </c>
      <c r="D34" s="33" t="str">
        <f>VLOOKUP($L$4&amp;"_"&amp;$A34, Khung_KeHoach_Chuan!$A$11:$J$91, 6, FALSE)</f>
        <v>Thiết lập thực nghiệm, phân tích kết quả, so sánh baseline và ablation study</v>
      </c>
      <c r="E34" s="35"/>
      <c r="F34" s="11" t="str">
        <f>VLOOKUP($L$4&amp;"_"&amp;$A34, Khung_KeHoach_Chuan!$A$11:$J$91, 7, FALSE)</f>
        <v>2026-12-15</v>
      </c>
      <c r="G34" s="11" t="str">
        <f>VLOOKUP($L$4&amp;"_"&amp;$A34, Khung_KeHoach_Chuan!$A$11:$J$91, 8, FALSE)</f>
        <v>2027-01-02</v>
      </c>
      <c r="H34" s="10" t="str">
        <f>VLOOKUP($L$4&amp;"_"&amp;$A34, Khung_KeHoach_Chuan!$A$11:$J$91, 9, FALSE)</f>
        <v>Bản thảo Chương 4, 5 đạt chuẩn học thuật cao</v>
      </c>
      <c r="I34" s="11" t="s">
        <v>518</v>
      </c>
      <c r="J34" s="10"/>
    </row>
    <row r="35" spans="1:10" ht="28.5">
      <c r="A35" s="13">
        <v>20</v>
      </c>
      <c r="B35" s="14" t="str">
        <f>VLOOKUP($L$4&amp;"_"&amp;$A35, Khung_KeHoach_Chuan!$A$11:$J$91, 4, FALSE)</f>
        <v>V. VIẾT &amp; HOÀN THIỆN BÁO CÁO</v>
      </c>
      <c r="C35" s="16" t="str">
        <f>VLOOKUP($L$4&amp;"_"&amp;$A35, Khung_KeHoach_Chuan!$A$11:$J$91, 5, FALSE)</f>
        <v>Hoàn thành toàn văn Khóa luận (100% Full Manuscript)</v>
      </c>
      <c r="D35" s="33" t="str">
        <f>VLOOKUP($L$4&amp;"_"&amp;$A35, Khung_KeHoach_Chuan!$A$11:$J$91, 6, FALSE)</f>
        <v>Conclusion, Future Works, Abstract song ngữ Anh-Việt, kiểm tra danh mục trích dẫn</v>
      </c>
      <c r="E35" s="35"/>
      <c r="F35" s="15" t="str">
        <f>VLOOKUP($L$4&amp;"_"&amp;$A35, Khung_KeHoach_Chuan!$A$11:$J$91, 7, FALSE)</f>
        <v>2027-01-01</v>
      </c>
      <c r="G35" s="15" t="str">
        <f>VLOOKUP($L$4&amp;"_"&amp;$A35, Khung_KeHoach_Chuan!$A$11:$J$91, 8, FALSE)</f>
        <v>2027-01-05</v>
      </c>
      <c r="H35" s="14" t="str">
        <f>VLOOKUP($L$4&amp;"_"&amp;$A35, Khung_KeHoach_Chuan!$A$11:$J$91, 9, FALSE)</f>
        <v>Bản thảo toàn văn KLTN 100% (Full Manuscript)</v>
      </c>
      <c r="I35" s="15" t="s">
        <v>518</v>
      </c>
      <c r="J35" s="14"/>
    </row>
    <row r="36" spans="1:10" ht="28.5">
      <c r="A36" s="9">
        <v>21</v>
      </c>
      <c r="B36" s="10" t="str">
        <f>VLOOKUP($L$4&amp;"_"&amp;$A36, Khung_KeHoach_Chuan!$A$11:$J$91, 4, FALSE)</f>
        <v>V. VIẾT &amp; HOÀN THIỆN BÁO CÁO</v>
      </c>
      <c r="C36" s="17" t="str">
        <f>VLOOKUP($L$4&amp;"_"&amp;$A36, Khung_KeHoach_Chuan!$A$11:$J$91, 5, FALSE)</f>
        <v>GVHD phản biện học thuật &amp; kiểm tra trùng lặp Turnitin</v>
      </c>
      <c r="D36" s="33" t="str">
        <f>VLOOKUP($L$4&amp;"_"&amp;$A36, Khung_KeHoach_Chuan!$A$11:$J$91, 6, FALSE)</f>
        <v>ThS. Lê Viết Thanh duyệt góp ý chuyên sâu; kiểm tra tỷ lệ tương đồng học thuật</v>
      </c>
      <c r="E36" s="35"/>
      <c r="F36" s="11" t="str">
        <f>VLOOKUP($L$4&amp;"_"&amp;$A36, Khung_KeHoach_Chuan!$A$11:$J$91, 7, FALSE)</f>
        <v>2027-01-03</v>
      </c>
      <c r="G36" s="11" t="str">
        <f>VLOOKUP($L$4&amp;"_"&amp;$A36, Khung_KeHoach_Chuan!$A$11:$J$91, 8, FALSE)</f>
        <v>2027-01-05</v>
      </c>
      <c r="H36" s="10" t="str">
        <f>VLOOKUP($L$4&amp;"_"&amp;$A36, Khung_KeHoach_Chuan!$A$11:$J$91, 9, FALSE)</f>
        <v>Báo cáo Turnitin đạt chuẩn + Bản chỉnh sửa hoàn thiện</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KHÓA LUẬN (FINAL CLEAN REPORT)</v>
      </c>
      <c r="D37" s="33" t="str">
        <f>VLOOKUP($L$4&amp;"_"&amp;$A37, Khung_KeHoach_Chuan!$A$11:$J$91, 6, FALSE)</f>
        <v>Khóa nội dung toàn văn, định dạng chuẩn form KLTN TDTU, sẵn sàng in ấn</v>
      </c>
      <c r="E37" s="35"/>
      <c r="F37" s="20" t="str">
        <f>VLOOKUP($L$4&amp;"_"&amp;$A37, Khung_KeHoach_Chuan!$A$11:$J$91, 7, FALSE)</f>
        <v>2027-01-05</v>
      </c>
      <c r="G37" s="20" t="str">
        <f>VLOOKUP($L$4&amp;"_"&amp;$A37, Khung_KeHoach_Chuan!$A$11:$J$91, 8, FALSE)</f>
        <v>2027-01-05</v>
      </c>
      <c r="H37" s="21" t="str">
        <f>VLOOKUP($L$4&amp;"_"&amp;$A37, Khung_KeHoach_Chuan!$A$11:$J$91, 9, FALSE)</f>
        <v>BÁO CÁO SẠCH FINAL - SẴN SÀNG NỘP</v>
      </c>
      <c r="I37" s="20" t="s">
        <v>518</v>
      </c>
      <c r="J37" s="21"/>
    </row>
    <row r="38" spans="1:10" ht="28.5">
      <c r="A38" s="19">
        <v>23</v>
      </c>
      <c r="B38" s="21" t="str">
        <f>VLOOKUP($L$4&amp;"_"&amp;$A38, Khung_KeHoach_Chuan!$A$11:$J$91, 4, FALSE)</f>
        <v>VI. NỘP CUỐI KỲ, PHẢN BIỆN &amp; BẢO VỆ KLTN</v>
      </c>
      <c r="C38" s="31" t="str">
        <f>VLOOKUP($L$4&amp;"_"&amp;$A38, Khung_KeHoach_Chuan!$A$11:$J$91, 5, FALSE)</f>
        <v>NỘP BÁO CÁO CUỐI KỲ (TURNITIN + ELIT + IN 3 CUỐN)</v>
      </c>
      <c r="D38" s="33" t="str">
        <f>VLOOKUP($L$4&amp;"_"&amp;$A38, Khung_KeHoach_Chuan!$A$11:$J$91, 6, FALSE)</f>
        <v>Nộp file (Turnitin, KLTN, ELIT) + Nộp 03 cuốn bìa thường kèm đĩa CD tại Khoa</v>
      </c>
      <c r="E38" s="35"/>
      <c r="F38" s="20" t="str">
        <f>VLOOKUP($L$4&amp;"_"&amp;$A38, Khung_KeHoach_Chuan!$A$11:$J$91, 7, FALSE)</f>
        <v>2027-01-15</v>
      </c>
      <c r="G38" s="20" t="str">
        <f>VLOOKUP($L$4&amp;"_"&amp;$A38, Khung_KeHoach_Chuan!$A$11:$J$91, 8, FALSE)</f>
        <v>2027-01-25</v>
      </c>
      <c r="H38" s="21" t="str">
        <f>VLOOKUP($L$4&amp;"_"&amp;$A38, Khung_KeHoach_Chuan!$A$11:$J$91, 9, FALSE)</f>
        <v>Xác nhận nộp bài file mềm + Biên nhận nộp 03 cuốn</v>
      </c>
      <c r="I38" s="20" t="s">
        <v>518</v>
      </c>
      <c r="J38" s="21"/>
    </row>
    <row r="39" spans="1:10" ht="28.5">
      <c r="A39" s="13">
        <v>24</v>
      </c>
      <c r="B39" s="14" t="str">
        <f>VLOOKUP($L$4&amp;"_"&amp;$A39, Khung_KeHoach_Chuan!$A$11:$J$91, 4, FALSE)</f>
        <v>VI. NỘP CUỐI KỲ, PHẢN BIỆN &amp; BẢO VỆ KLTN</v>
      </c>
      <c r="C39" s="16" t="str">
        <f>VLOOKUP($L$4&amp;"_"&amp;$A39, Khung_KeHoach_Chuan!$A$11:$J$91, 5, FALSE)</f>
        <v>GVHD xác nhận duyệt sinh viên ra Hội đồng phản biện</v>
      </c>
      <c r="D39" s="33" t="str">
        <f>VLOOKUP($L$4&amp;"_"&amp;$A39, Khung_KeHoach_Chuan!$A$11:$J$91, 6, FALSE)</f>
        <v>ThS. Lê Viết Thanh ký duyệt cho sinh viên ra Hội đồng phản biện</v>
      </c>
      <c r="E39" s="35"/>
      <c r="F39" s="15" t="str">
        <f>VLOOKUP($L$4&amp;"_"&amp;$A39, Khung_KeHoach_Chuan!$A$11:$J$91, 7, FALSE)</f>
        <v>2027-01-20</v>
      </c>
      <c r="G39" s="15" t="str">
        <f>VLOOKUP($L$4&amp;"_"&amp;$A39, Khung_KeHoach_Chuan!$A$11:$J$91, 8, FALSE)</f>
        <v>2027-01-24</v>
      </c>
      <c r="H39" s="14" t="str">
        <f>VLOOKUP($L$4&amp;"_"&amp;$A39, Khung_KeHoach_Chuan!$A$11:$J$91, 9, FALSE)</f>
        <v>Phiếu xác nhận của GVHD đủ điều kiện bảo vệ</v>
      </c>
      <c r="I39" s="15" t="s">
        <v>518</v>
      </c>
      <c r="J39" s="14"/>
    </row>
    <row r="40" spans="1:10" ht="28.5">
      <c r="A40" s="9">
        <v>25</v>
      </c>
      <c r="B40" s="10" t="str">
        <f>VLOOKUP($L$4&amp;"_"&amp;$A40, Khung_KeHoach_Chuan!$A$11:$J$91, 4, FALSE)</f>
        <v>VI. NỘP CUỐI KỲ, PHẢN BIỆN &amp; BẢO VỆ KLTN</v>
      </c>
      <c r="C40" s="17" t="str">
        <f>VLOOKUP($L$4&amp;"_"&amp;$A40, Khung_KeHoach_Chuan!$A$11:$J$91, 5, FALSE)</f>
        <v>Gặp &amp; Báo cáo với Giảng viên phản biện (GVPB)</v>
      </c>
      <c r="D40" s="33" t="str">
        <f>VLOOKUP($L$4&amp;"_"&amp;$A40, Khung_KeHoach_Chuan!$A$11:$J$91, 6, FALSE)</f>
        <v>Trình bày kết quả nghiên cứu mô hình ML trong SDN/SD-WAN với GVPB; nhận phiếu chấm điểm</v>
      </c>
      <c r="E40" s="35"/>
      <c r="F40" s="11" t="str">
        <f>VLOOKUP($L$4&amp;"_"&amp;$A40, Khung_KeHoach_Chuan!$A$11:$J$91, 7, FALSE)</f>
        <v>2027-02-19</v>
      </c>
      <c r="G40" s="11" t="str">
        <f>VLOOKUP($L$4&amp;"_"&amp;$A40, Khung_KeHoach_Chuan!$A$11:$J$91, 8, FALSE)</f>
        <v>2027-02-24</v>
      </c>
      <c r="H40" s="10" t="str">
        <f>VLOOKUP($L$4&amp;"_"&amp;$A40, Khung_KeHoach_Chuan!$A$11:$J$91, 9, FALSE)</f>
        <v>Phiếu chấm điểm phản biện của GVPB</v>
      </c>
      <c r="I40" s="11" t="s">
        <v>518</v>
      </c>
      <c r="J40" s="10"/>
    </row>
    <row r="41" spans="1:10" ht="28.5">
      <c r="A41" s="13">
        <v>26</v>
      </c>
      <c r="B41" s="14" t="str">
        <f>VLOOKUP($L$4&amp;"_"&amp;$A41, Khung_KeHoach_Chuan!$A$11:$J$91, 4, FALSE)</f>
        <v>VI. NỘP CUỐI KỲ, PHẢN BIỆN &amp; BẢO VỆ KLTN</v>
      </c>
      <c r="C41" s="16" t="str">
        <f>VLOOKUP($L$4&amp;"_"&amp;$A41, Khung_KeHoach_Chuan!$A$11:$J$91, 5, FALSE)</f>
        <v>TỔ CHỨC HỘI ĐỔNG BẢO VỆ KHÓA LUẬN TỐT NGHIỆP</v>
      </c>
      <c r="D41" s="33" t="str">
        <f>VLOOKUP($L$4&amp;"_"&amp;$A41, Khung_KeHoach_Chuan!$A$11:$J$91, 6, FALSE)</f>
        <v>Bảo vệ chính thức trước Hội đồng chấm Khóa luận tốt nghiệp Trường ĐH Tôn Đức Thắng</v>
      </c>
      <c r="E41" s="35"/>
      <c r="F41" s="15" t="str">
        <f>VLOOKUP($L$4&amp;"_"&amp;$A41, Khung_KeHoach_Chuan!$A$11:$J$91, 7, FALSE)</f>
        <v>2027-03-03</v>
      </c>
      <c r="G41" s="15" t="str">
        <f>VLOOKUP($L$4&amp;"_"&amp;$A41, Khung_KeHoach_Chuan!$A$11:$J$91, 8, FALSE)</f>
        <v>2027-03-06</v>
      </c>
      <c r="H41" s="14" t="str">
        <f>VLOOKUP($L$4&amp;"_"&amp;$A41, Khung_KeHoach_Chuan!$A$11:$J$91, 9, FALSE)</f>
        <v>Biên bản chấm điểm &amp; Đánh giá của Hội đồng</v>
      </c>
      <c r="I41" s="15" t="s">
        <v>518</v>
      </c>
      <c r="J41" s="14"/>
    </row>
    <row r="42" spans="1:10" ht="28.5">
      <c r="A42" s="19">
        <v>27</v>
      </c>
      <c r="B42" s="21" t="str">
        <f>VLOOKUP($L$4&amp;"_"&amp;$A42, Khung_KeHoach_Chuan!$A$11:$J$91, 4, FALSE)</f>
        <v>VI. NỘP CUỐI KỲ, PHẢN BIỆN &amp; BẢO VỆ KLTN</v>
      </c>
      <c r="C42" s="31" t="str">
        <f>VLOOKUP($L$4&amp;"_"&amp;$A42, Khung_KeHoach_Chuan!$A$11:$J$91, 5, FALSE)</f>
        <v>Điều chỉnh báo cáo &amp; Nộp cuốn KLTN mạ vàng chính thức</v>
      </c>
      <c r="D42" s="33" t="str">
        <f>VLOOKUP($L$4&amp;"_"&amp;$A42, Khung_KeHoach_Chuan!$A$11:$J$91, 6, FALSE)</f>
        <v>Hoàn thiện chỉnh sửa theo biên bản Hội đồng, đóng bìa mạ vàng và nộp chính thức về VP Khoa</v>
      </c>
      <c r="E42" s="35"/>
      <c r="F42" s="20" t="str">
        <f>VLOOKUP($L$4&amp;"_"&amp;$A42, Khung_KeHoach_Chuan!$A$11:$J$91, 7, FALSE)</f>
        <v>2027-03-07</v>
      </c>
      <c r="G42" s="20" t="str">
        <f>VLOOKUP($L$4&amp;"_"&amp;$A42, Khung_KeHoach_Chuan!$A$11:$J$91, 8, FALSE)</f>
        <v>2027-04-06</v>
      </c>
      <c r="H42" s="21" t="str">
        <f>VLOOKUP($L$4&amp;"_"&amp;$A42, Khung_KeHoach_Chuan!$A$11:$J$91, 9, FALSE)</f>
        <v>Biên nhận nộp cuốn KLTN mạ vàng chính thức</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A00-000000000000}">
      <formula1>"Dự án CNTT,Đồ án tốt nghiệp,Khóa luận tốt nghiệp,Dự án + Đồ án,Dự án + Khóa luận"</formula1>
    </dataValidation>
    <dataValidation type="list" allowBlank="1" sqref="I16:I42" xr:uid="{00000000-0002-0000-0A00-000001000000}">
      <formula1>"Chưa bắt đầu,Đang thực hiện,Hoàn thành,Tạm hoãn - Bị chặn"</formula1>
    </dataValidation>
    <dataValidation type="list" allowBlank="1" showInputMessage="1" showErrorMessage="1" sqref="C10" xr:uid="{BF5B6255-50F6-4642-91FE-603952B29F69}">
      <formula1>"Dự án CNTT,Đồ án tốt nghiệp,Khóa luận tốt nghiệp"</formula1>
    </dataValidation>
    <dataValidation type="list" allowBlank="1" showInputMessage="1" showErrorMessage="1" sqref="I45:I71" xr:uid="{282E9348-D449-40E8-8631-579629A83F1E}">
      <formula1>"Chưa bắt đầu,Đang thực hiện,Hoàn thành,Tạm hoãn - Bị chặn"</formula1>
    </dataValidation>
  </dataValidations>
  <pageMargins left="0.75" right="0.75" top="1" bottom="1"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topLeftCell="A62" workbookViewId="0">
      <selection activeCell="H30" sqref="H30"/>
    </sheetView>
  </sheetViews>
  <sheetFormatPr defaultColWidth="14.42578125" defaultRowHeight="15" customHeight="1"/>
  <cols>
    <col min="1" max="1" width="26" customWidth="1"/>
    <col min="2" max="2" width="28.85546875" customWidth="1"/>
    <col min="3" max="3" width="38.42578125" customWidth="1"/>
    <col min="4" max="4" width="127.140625" customWidth="1"/>
    <col min="5" max="5" width="79"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682</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59</v>
      </c>
      <c r="D4" s="1"/>
      <c r="E4" s="1"/>
      <c r="F4" s="22" t="s">
        <v>488</v>
      </c>
      <c r="G4" s="24" t="s">
        <v>489</v>
      </c>
      <c r="H4" s="1"/>
      <c r="I4" s="1"/>
      <c r="J4" s="38"/>
      <c r="L4" s="37" t="str">
        <f>IF(OR($C$4="Dự án + Đồ án",$C$4="Dự án + Khóa luận"),"Dự án CNTT",$C$4)</f>
        <v>Khóa luận tốt nghiệp</v>
      </c>
    </row>
    <row r="5" spans="1:12" ht="18">
      <c r="A5" s="17" t="s">
        <v>490</v>
      </c>
      <c r="B5" s="1"/>
      <c r="C5" s="86" t="s">
        <v>683</v>
      </c>
      <c r="D5" s="87"/>
      <c r="E5" s="87"/>
      <c r="F5" s="87"/>
      <c r="G5" s="87"/>
      <c r="H5" s="87"/>
      <c r="I5" s="88"/>
      <c r="J5" s="38"/>
    </row>
    <row r="6" spans="1:12" ht="28.5">
      <c r="A6" s="22" t="s">
        <v>492</v>
      </c>
      <c r="B6" s="1"/>
      <c r="C6" s="10" t="s">
        <v>684</v>
      </c>
      <c r="D6" s="1"/>
      <c r="E6" s="1"/>
      <c r="F6" s="22" t="s">
        <v>494</v>
      </c>
      <c r="G6" s="10" t="s">
        <v>685</v>
      </c>
      <c r="H6" s="1"/>
      <c r="I6" s="1"/>
      <c r="J6" s="38"/>
    </row>
    <row r="7" spans="1:12" ht="30.75">
      <c r="A7" s="22" t="s">
        <v>496</v>
      </c>
      <c r="B7" s="1"/>
      <c r="C7" s="40" t="s">
        <v>686</v>
      </c>
      <c r="D7" s="1"/>
      <c r="E7" s="1"/>
      <c r="F7" s="22" t="s">
        <v>498</v>
      </c>
      <c r="G7" s="40" t="s">
        <v>687</v>
      </c>
      <c r="H7" s="1"/>
      <c r="I7" s="1"/>
      <c r="J7" s="38"/>
    </row>
    <row r="8" spans="1:12" ht="42.75">
      <c r="A8" s="22" t="s">
        <v>500</v>
      </c>
      <c r="B8" s="1"/>
      <c r="C8" s="17" t="str">
        <f>VLOOKUP($L$4, Khung_KeHoach_Chuan!$A$5:$H$7, 2, FALSE)</f>
        <v>2026-08-06</v>
      </c>
      <c r="D8" s="1"/>
      <c r="E8" s="1"/>
      <c r="F8" s="22" t="s">
        <v>501</v>
      </c>
      <c r="G8" s="26" t="str">
        <f>VLOOKUP($L$4, Khung_KeHoach_Chuan!$A$5:$H$7, 4, FALSE)</f>
        <v>2027-01-05</v>
      </c>
      <c r="H8" s="1"/>
      <c r="I8" s="1"/>
      <c r="J8" s="38"/>
    </row>
    <row r="9" spans="1:12" ht="57">
      <c r="A9" s="22" t="s">
        <v>502</v>
      </c>
      <c r="B9" s="1"/>
      <c r="C9" s="26" t="str">
        <f>VLOOKUP($L$4, Khung_KeHoach_Chuan!$A$5:$H$7, 5, FALSE)</f>
        <v>2027-01-25</v>
      </c>
      <c r="D9" s="1"/>
      <c r="E9" s="1"/>
      <c r="F9" s="22" t="s">
        <v>503</v>
      </c>
      <c r="G9" s="27" t="str">
        <f>VLOOKUP($L$4, Khung_KeHoach_Chuan!$A$5:$H$7, 7, FALSE)</f>
        <v>03/03/2027 – 06/03/2027</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3</v>
      </c>
      <c r="C13" s="3">
        <f>COUNTIF(I16:I42, "Đang thực hiện") + IF($C$10&lt;&gt;"", COUNTIF(I45:I71, "Đang thực hiện"), 0)</f>
        <v>3</v>
      </c>
      <c r="D13" s="4">
        <f>COUNTIF(I16:I42, "Chưa bắt đầu") + IF($C$10&lt;&gt;"", COUNTIF(I45:I71, "Chưa bắt đầu"), 0)</f>
        <v>21</v>
      </c>
      <c r="E13" s="4"/>
      <c r="F13" s="29">
        <f>COUNTIF(I16:I42, "Tạm hoãn - Bị chặn") + IF($C$10&lt;&gt;"", COUNTIF(I45:I71, "Tạm hoãn - Bị chặn"), 0)</f>
        <v>0</v>
      </c>
      <c r="G13" s="28" t="str">
        <f>G8</f>
        <v>2027-01-05</v>
      </c>
      <c r="H13" s="30">
        <f>B13/A13</f>
        <v>0.1111111111111111</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42.75">
      <c r="A16" s="9">
        <v>1</v>
      </c>
      <c r="B16" s="10" t="str">
        <f>VLOOKUP($L$4&amp;"_"&amp;$A16, Khung_KeHoach_Chuan!$A$11:$J$91, 4, FALSE)</f>
        <v>I. ĐỊNH HƯỚNG &amp; PHƯƠNG PHÁP LUẬN</v>
      </c>
      <c r="C16" s="17" t="str">
        <f>VLOOKUP($L$4&amp;"_"&amp;$A16, Khung_KeHoach_Chuan!$A$11:$J$91, 5, FALSE)</f>
        <v>Xác định vấn đề nghiên cứu khoa học trong SDN/SD-WAN ứng dụng ML</v>
      </c>
      <c r="D16" s="33" t="str">
        <f>VLOOKUP($L$4&amp;"_"&amp;$A16, Khung_KeHoach_Chuan!$A$11:$J$91, 6, FALSE)</f>
        <v>Research gap, giả thuyết &amp; câu hỏi nghiên cứu về tối ưu/bảo mật mạng bằng ML</v>
      </c>
      <c r="E16" s="35" t="s">
        <v>688</v>
      </c>
      <c r="F16" s="11" t="str">
        <f>VLOOKUP($L$4&amp;"_"&amp;$A16, Khung_KeHoach_Chuan!$A$11:$J$91, 7, FALSE)</f>
        <v>2026-08-06</v>
      </c>
      <c r="G16" s="11" t="str">
        <f>VLOOKUP($L$4&amp;"_"&amp;$A16, Khung_KeHoach_Chuan!$A$11:$J$91, 8, FALSE)</f>
        <v>2026-08-20</v>
      </c>
      <c r="H16" s="10" t="s">
        <v>689</v>
      </c>
      <c r="I16" s="11" t="s">
        <v>517</v>
      </c>
      <c r="J16" s="10" t="s">
        <v>690</v>
      </c>
    </row>
    <row r="17" spans="1:10" ht="42.75">
      <c r="A17" s="13">
        <v>2</v>
      </c>
      <c r="B17" s="14" t="str">
        <f>VLOOKUP($L$4&amp;"_"&amp;$A17, Khung_KeHoach_Chuan!$A$11:$J$91, 4, FALSE)</f>
        <v>I. ĐỊNH HƯỚNG &amp; PHƯƠNG PHÁP LUẬN</v>
      </c>
      <c r="C17" s="16" t="str">
        <f>VLOOKUP($L$4&amp;"_"&amp;$A17, Khung_KeHoach_Chuan!$A$11:$J$91, 5, FALSE)</f>
        <v>Khảo sát tài liệu học thuật chuyên sâu (State-of-the-Art Review)</v>
      </c>
      <c r="D17" s="33" t="str">
        <f>VLOOKUP($L$4&amp;"_"&amp;$A17, Khung_KeHoach_Chuan!$A$11:$J$91, 6, FALSE)</f>
        <v>Bài báo ISI/Scopus về SDN/SD-WAN &amp; ML; ma trận so sánh phương pháp hiện hành</v>
      </c>
      <c r="E17" s="35" t="s">
        <v>691</v>
      </c>
      <c r="F17" s="15" t="str">
        <f>VLOOKUP($L$4&amp;"_"&amp;$A17, Khung_KeHoach_Chuan!$A$11:$J$91, 7, FALSE)</f>
        <v>2026-08-15</v>
      </c>
      <c r="G17" s="15" t="str">
        <f>VLOOKUP($L$4&amp;"_"&amp;$A17, Khung_KeHoach_Chuan!$A$11:$J$91, 8, FALSE)</f>
        <v>2026-09-05</v>
      </c>
      <c r="H17" s="14" t="s">
        <v>692</v>
      </c>
      <c r="I17" s="15" t="s">
        <v>517</v>
      </c>
      <c r="J17" s="14" t="s">
        <v>690</v>
      </c>
    </row>
    <row r="18" spans="1:10" ht="42.75">
      <c r="A18" s="9">
        <v>3</v>
      </c>
      <c r="B18" s="10" t="str">
        <f>VLOOKUP($L$4&amp;"_"&amp;$A18, Khung_KeHoach_Chuan!$A$11:$J$91, 4, FALSE)</f>
        <v>I. ĐỊNH HƯỚNG &amp; PHƯƠNG PHÁP LUẬN</v>
      </c>
      <c r="C18" s="17" t="str">
        <f>VLOOKUP($L$4&amp;"_"&amp;$A18, Khung_KeHoach_Chuan!$A$11:$J$91, 5, FALSE)</f>
        <v>Đề xuất mô hình/thuật toán ML cải tiến cho SDN/SD-WAN</v>
      </c>
      <c r="D18" s="33" t="str">
        <f>VLOOKUP($L$4&amp;"_"&amp;$A18, Khung_KeHoach_Chuan!$A$11:$J$91, 6, FALSE)</f>
        <v>Cơ sở toán học, kiến trúc mô hình đề xuất (Deep Learning/Reinforcement Learning cho định tuyến/bảo mật)</v>
      </c>
      <c r="E18" s="35" t="s">
        <v>693</v>
      </c>
      <c r="F18" s="11" t="str">
        <f>VLOOKUP($L$4&amp;"_"&amp;$A18, Khung_KeHoach_Chuan!$A$11:$J$91, 7, FALSE)</f>
        <v>2026-09-01</v>
      </c>
      <c r="G18" s="11" t="str">
        <f>VLOOKUP($L$4&amp;"_"&amp;$A18, Khung_KeHoach_Chuan!$A$11:$J$91, 8, FALSE)</f>
        <v>2026-09-18</v>
      </c>
      <c r="H18" s="10" t="s">
        <v>692</v>
      </c>
      <c r="I18" s="11" t="s">
        <v>517</v>
      </c>
      <c r="J18" s="10" t="s">
        <v>690</v>
      </c>
    </row>
    <row r="19" spans="1:10" ht="42.75">
      <c r="A19" s="13">
        <v>4</v>
      </c>
      <c r="B19" s="14" t="str">
        <f>VLOOKUP($L$4&amp;"_"&amp;$A19, Khung_KeHoach_Chuan!$A$11:$J$91, 4, FALSE)</f>
        <v>I. ĐỊNH HƯỚNG &amp; PHƯƠNG PHÁP LUẬN</v>
      </c>
      <c r="C19" s="16" t="str">
        <f>VLOOKUP($L$4&amp;"_"&amp;$A19, Khung_KeHoach_Chuan!$A$11:$J$91, 5, FALSE)</f>
        <v>Lập kế hoạch nghiên cứu 25 tuần, quản trị tài nguyên &amp; rủi ro</v>
      </c>
      <c r="D19" s="33" t="str">
        <f>VLOOKUP($L$4&amp;"_"&amp;$A19, Khung_KeHoach_Chuan!$A$11:$J$91, 6, FALSE)</f>
        <v>Lộ trình nghiên cứu, Git repo, Overleaf/LaTeX, quản lý tài liệu tham khảo</v>
      </c>
      <c r="E19" s="35" t="s">
        <v>694</v>
      </c>
      <c r="F19" s="15" t="str">
        <f>VLOOKUP($L$4&amp;"_"&amp;$A19, Khung_KeHoach_Chuan!$A$11:$J$91, 7, FALSE)</f>
        <v>2026-09-05</v>
      </c>
      <c r="G19" s="15" t="str">
        <f>VLOOKUP($L$4&amp;"_"&amp;$A19, Khung_KeHoach_Chuan!$A$11:$J$91, 8, FALSE)</f>
        <v>2026-09-20</v>
      </c>
      <c r="H19" s="14" t="s">
        <v>695</v>
      </c>
      <c r="I19" s="15" t="s">
        <v>529</v>
      </c>
      <c r="J19" s="14" t="s">
        <v>690</v>
      </c>
    </row>
    <row r="20" spans="1:10" ht="42.75">
      <c r="A20" s="9">
        <v>5</v>
      </c>
      <c r="B20" s="10" t="str">
        <f>VLOOKUP($L$4&amp;"_"&amp;$A20, Khung_KeHoach_Chuan!$A$11:$J$91, 4, FALSE)</f>
        <v>II. THIẾT KẾ &amp; CHUẨN BỊ</v>
      </c>
      <c r="C20" s="17" t="str">
        <f>VLOOKUP($L$4&amp;"_"&amp;$A20, Khung_KeHoach_Chuan!$A$11:$J$91, 5, FALSE)</f>
        <v>Mô hình hóa thuật toán &amp; thiết kế kiến trúc giải pháp SDN/SD-WAN + ML</v>
      </c>
      <c r="D20" s="33" t="str">
        <f>VLOOKUP($L$4&amp;"_"&amp;$A20, Khung_KeHoach_Chuan!$A$11:$J$91, 6, FALSE)</f>
        <v>Đặc tả toán học, sơ đồ khối thuật toán, pipeline xử lý dữ liệu, kiến trúc mô hình</v>
      </c>
      <c r="E20" s="35" t="s">
        <v>696</v>
      </c>
      <c r="F20" s="11" t="str">
        <f>VLOOKUP($L$4&amp;"_"&amp;$A20, Khung_KeHoach_Chuan!$A$11:$J$91, 7, FALSE)</f>
        <v>2026-09-15</v>
      </c>
      <c r="G20" s="11" t="str">
        <f>VLOOKUP($L$4&amp;"_"&amp;$A20, Khung_KeHoach_Chuan!$A$11:$J$91, 8, FALSE)</f>
        <v>2026-10-05</v>
      </c>
      <c r="H20" s="10" t="s">
        <v>697</v>
      </c>
      <c r="I20" s="11" t="s">
        <v>529</v>
      </c>
      <c r="J20" s="10" t="s">
        <v>690</v>
      </c>
    </row>
    <row r="21" spans="1:10" ht="42.75">
      <c r="A21" s="13">
        <v>6</v>
      </c>
      <c r="B21" s="14" t="str">
        <f>VLOOKUP($L$4&amp;"_"&amp;$A21, Khung_KeHoach_Chuan!$A$11:$J$91, 4, FALSE)</f>
        <v>II. THIẾT KẾ &amp; CHUẨN BỊ</v>
      </c>
      <c r="C21" s="16" t="str">
        <f>VLOOKUP($L$4&amp;"_"&amp;$A21, Khung_KeHoach_Chuan!$A$11:$J$91, 5, FALSE)</f>
        <v>Chuẩn bị Dataset chuẩn, hạ tầng GPU &amp; pipeline tiền xử lý</v>
      </c>
      <c r="D21" s="33" t="str">
        <f>VLOOKUP($L$4&amp;"_"&amp;$A21, Khung_KeHoach_Chuan!$A$11:$J$91, 6, FALSE)</f>
        <v>Dataset traffic/SDN chuẩn quốc tế (benchmark), tiền xử lý, trích chọn đặc trưng, chia train/val/test</v>
      </c>
      <c r="E21" s="35" t="s">
        <v>698</v>
      </c>
      <c r="F21" s="15" t="str">
        <f>VLOOKUP($L$4&amp;"_"&amp;$A21, Khung_KeHoach_Chuan!$A$11:$J$91, 7, FALSE)</f>
        <v>2026-09-20</v>
      </c>
      <c r="G21" s="15" t="str">
        <f>VLOOKUP($L$4&amp;"_"&amp;$A21, Khung_KeHoach_Chuan!$A$11:$J$91, 8, FALSE)</f>
        <v>2026-10-10</v>
      </c>
      <c r="H21" s="14" t="s">
        <v>699</v>
      </c>
      <c r="I21" s="15" t="s">
        <v>529</v>
      </c>
      <c r="J21" s="14" t="s">
        <v>690</v>
      </c>
    </row>
    <row r="22" spans="1:10" ht="42.75">
      <c r="A22" s="9">
        <v>7</v>
      </c>
      <c r="B22" s="10" t="str">
        <f>VLOOKUP($L$4&amp;"_"&amp;$A22, Khung_KeHoach_Chuan!$A$11:$J$91, 4, FALSE)</f>
        <v>II. THIẾT KẾ &amp; CHUẨN BỊ</v>
      </c>
      <c r="C22" s="17" t="str">
        <f>VLOOKUP($L$4&amp;"_"&amp;$A22, Khung_KeHoach_Chuan!$A$11:$J$91, 5, FALSE)</f>
        <v>Thiết lập kịch bản thực nghiệm, độ đo khoa học &amp; Baselines</v>
      </c>
      <c r="D22" s="33" t="str">
        <f>VLOOKUP($L$4&amp;"_"&amp;$A22, Khung_KeHoach_Chuan!$A$11:$J$91, 6, FALSE)</f>
        <v>Mô hình baseline State-of-the-Art, metric chuẩn (Precision, Recall, F1, ROC-AUC, Delay)</v>
      </c>
      <c r="E22" s="35" t="s">
        <v>700</v>
      </c>
      <c r="F22" s="11" t="str">
        <f>VLOOKUP($L$4&amp;"_"&amp;$A22, Khung_KeHoach_Chuan!$A$11:$J$91, 7, FALSE)</f>
        <v>2026-10-01</v>
      </c>
      <c r="G22" s="11" t="str">
        <f>VLOOKUP($L$4&amp;"_"&amp;$A22, Khung_KeHoach_Chuan!$A$11:$J$91, 8, FALSE)</f>
        <v>2026-10-15</v>
      </c>
      <c r="H22" s="10" t="s">
        <v>701</v>
      </c>
      <c r="I22" s="11" t="s">
        <v>518</v>
      </c>
      <c r="J22" s="10"/>
    </row>
    <row r="23" spans="1:10" ht="71.25">
      <c r="A23" s="13">
        <v>8</v>
      </c>
      <c r="B23" s="14" t="str">
        <f>VLOOKUP($L$4&amp;"_"&amp;$A23, Khung_KeHoach_Chuan!$A$11:$J$91, 4, FALSE)</f>
        <v>II. THIẾT KẾ &amp; CHUẨN BỊ</v>
      </c>
      <c r="C23" s="16" t="str">
        <f>VLOOKUP($L$4&amp;"_"&amp;$A23, Khung_KeHoach_Chuan!$A$11:$J$91, 5, FALSE)</f>
        <v>Thực hiện PoC &amp; xác minh giả thuyết ban đầu</v>
      </c>
      <c r="D23" s="33" t="str">
        <f>VLOOKUP($L$4&amp;"_"&amp;$A23, Khung_KeHoach_Chuan!$A$11:$J$91, 6, FALSE)</f>
        <v>Chạy thử giải thuật đề xuất trên tập mẫu để xác minh tính đúng đắn của giả thuyết</v>
      </c>
      <c r="E23" s="35" t="s">
        <v>702</v>
      </c>
      <c r="F23" s="15" t="str">
        <f>VLOOKUP($L$4&amp;"_"&amp;$A23, Khung_KeHoach_Chuan!$A$11:$J$91, 7, FALSE)</f>
        <v>2026-10-05</v>
      </c>
      <c r="G23" s="15" t="str">
        <f>VLOOKUP($L$4&amp;"_"&amp;$A23, Khung_KeHoach_Chuan!$A$11:$J$91, 8, FALSE)</f>
        <v>2026-10-20</v>
      </c>
      <c r="H23" s="14" t="s">
        <v>703</v>
      </c>
      <c r="I23" s="15" t="s">
        <v>518</v>
      </c>
      <c r="J23" s="14"/>
    </row>
    <row r="24" spans="1:10" ht="42.75">
      <c r="A24" s="9">
        <v>9</v>
      </c>
      <c r="B24" s="10" t="str">
        <f>VLOOKUP($L$4&amp;"_"&amp;$A24, Khung_KeHoach_Chuan!$A$11:$J$91, 4, FALSE)</f>
        <v>III. TRIỂN KHAI / THỰC NGHIỆM</v>
      </c>
      <c r="C24" s="17" t="str">
        <f>VLOOKUP($L$4&amp;"_"&amp;$A24, Khung_KeHoach_Chuan!$A$11:$J$91, 5, FALSE)</f>
        <v>Triển khai cài đặt mô hình/thuật toán ML đề xuất cho SDN/SD-WAN</v>
      </c>
      <c r="D24" s="33" t="str">
        <f>VLOOKUP($L$4&amp;"_"&amp;$A24, Khung_KeHoach_Chuan!$A$11:$J$91, 6, FALSE)</f>
        <v>Lập trình cài đặt hoàn chỉnh thuật toán đề xuất; tinh chỉnh hyperparameter tuning</v>
      </c>
      <c r="E24" s="35" t="s">
        <v>704</v>
      </c>
      <c r="F24" s="11" t="str">
        <f>VLOOKUP($L$4&amp;"_"&amp;$A24, Khung_KeHoach_Chuan!$A$11:$J$91, 7, FALSE)</f>
        <v>2026-10-15</v>
      </c>
      <c r="G24" s="11" t="str">
        <f>VLOOKUP($L$4&amp;"_"&amp;$A24, Khung_KeHoach_Chuan!$A$11:$J$91, 8, FALSE)</f>
        <v>2026-11-05</v>
      </c>
      <c r="H24" s="10" t="s">
        <v>705</v>
      </c>
      <c r="I24" s="11" t="s">
        <v>518</v>
      </c>
      <c r="J24" s="10"/>
    </row>
    <row r="25" spans="1:10" ht="42.75">
      <c r="A25" s="19">
        <v>10</v>
      </c>
      <c r="B25" s="21" t="str">
        <f>VLOOKUP($L$4&amp;"_"&amp;$A25, Khung_KeHoach_Chuan!$A$11:$J$91, 4, FALSE)</f>
        <v>III. TRIỂN KHAI / THỰC NGHIỆM</v>
      </c>
      <c r="C25" s="31" t="str">
        <f>VLOOKUP($L$4&amp;"_"&amp;$A25, Khung_KeHoach_Chuan!$A$11:$J$91, 5, FALSE)</f>
        <v>BÁO CÁO TIẾN ĐỘ THỰC HIỆN KLTN GIỮA KỲ (MỐC KHOA)</v>
      </c>
      <c r="D25" s="33" t="str">
        <f>VLOOKUP($L$4&amp;"_"&amp;$A25, Khung_KeHoach_Chuan!$A$11:$J$91, 6, FALSE)</f>
        <v>Nộp phiếu theo dõi có nhận xét &amp; chữ ký GVHD sau 6 tuần</v>
      </c>
      <c r="E25" s="35" t="s">
        <v>706</v>
      </c>
      <c r="F25" s="20" t="str">
        <f>VLOOKUP($L$4&amp;"_"&amp;$A25, Khung_KeHoach_Chuan!$A$11:$J$91, 7, FALSE)</f>
        <v>2026-10-29</v>
      </c>
      <c r="G25" s="20" t="str">
        <f>VLOOKUP($L$4&amp;"_"&amp;$A25, Khung_KeHoach_Chuan!$A$11:$J$91, 8, FALSE)</f>
        <v>2026-11-12</v>
      </c>
      <c r="H25" s="21" t="str">
        <f>VLOOKUP($L$4&amp;"_"&amp;$A25, Khung_KeHoach_Chuan!$A$11:$J$91, 9, FALSE)</f>
        <v>Phiếu theo dõi có chữ ký GVHD + Báo cáo giữa kỳ ELIT</v>
      </c>
      <c r="I25" s="20" t="s">
        <v>518</v>
      </c>
      <c r="J25" s="21"/>
    </row>
    <row r="26" spans="1:10" ht="42.75">
      <c r="A26" s="9">
        <v>11</v>
      </c>
      <c r="B26" s="10" t="str">
        <f>VLOOKUP($L$4&amp;"_"&amp;$A26, Khung_KeHoach_Chuan!$A$11:$J$91, 4, FALSE)</f>
        <v>III. TRIỂN KHAI / THỰC NGHIỆM</v>
      </c>
      <c r="C26" s="17" t="str">
        <f>VLOOKUP($L$4&amp;"_"&amp;$A26, Khung_KeHoach_Chuan!$A$11:$J$91, 5, FALSE)</f>
        <v>Cài đặt &amp; chạy lại các mô hình đối chứng (Baseline Models)</v>
      </c>
      <c r="D26" s="33" t="str">
        <f>VLOOKUP($L$4&amp;"_"&amp;$A26, Khung_KeHoach_Chuan!$A$11:$J$91, 6, FALSE)</f>
        <v>Triển khai lại giải pháp của các tác giả trước trên cùng điều kiện/dataset để đảm bảo công bằng</v>
      </c>
      <c r="E26" s="35" t="s">
        <v>707</v>
      </c>
      <c r="F26" s="11" t="str">
        <f>VLOOKUP($L$4&amp;"_"&amp;$A26, Khung_KeHoach_Chuan!$A$11:$J$91, 7, FALSE)</f>
        <v>2026-11-05</v>
      </c>
      <c r="G26" s="11" t="str">
        <f>VLOOKUP($L$4&amp;"_"&amp;$A26, Khung_KeHoach_Chuan!$A$11:$J$91, 8, FALSE)</f>
        <v>2026-11-25</v>
      </c>
      <c r="H26" s="10" t="s">
        <v>708</v>
      </c>
      <c r="I26" s="11" t="s">
        <v>518</v>
      </c>
      <c r="J26" s="10"/>
    </row>
    <row r="27" spans="1:10" ht="71.25">
      <c r="A27" s="13">
        <v>12</v>
      </c>
      <c r="B27" s="14" t="str">
        <f>VLOOKUP($L$4&amp;"_"&amp;$A27, Khung_KeHoach_Chuan!$A$11:$J$91, 4, FALSE)</f>
        <v>III. TRIỂN KHAI / THỰC NGHIỆM</v>
      </c>
      <c r="C27" s="16" t="str">
        <f>VLOOKUP($L$4&amp;"_"&amp;$A27, Khung_KeHoach_Chuan!$A$11:$J$91, 5, FALSE)</f>
        <v>Chạy thực nghiệm diện rộng, Cross-validation &amp; Stress-test</v>
      </c>
      <c r="D27" s="33" t="str">
        <f>VLOOKUP($L$4&amp;"_"&amp;$A27, Khung_KeHoach_Chuan!$A$11:$J$91, 6, FALSE)</f>
        <v>Lặp lại k-fold cross-validation, kiểm tra độ ổn định và tài nguyên tiêu thụ của mô hình</v>
      </c>
      <c r="E27" s="35" t="s">
        <v>709</v>
      </c>
      <c r="F27" s="15" t="str">
        <f>VLOOKUP($L$4&amp;"_"&amp;$A27, Khung_KeHoach_Chuan!$A$11:$J$91, 7, FALSE)</f>
        <v>2026-11-20</v>
      </c>
      <c r="G27" s="15" t="str">
        <f>VLOOKUP($L$4&amp;"_"&amp;$A27, Khung_KeHoach_Chuan!$A$11:$J$91, 8, FALSE)</f>
        <v>2026-12-10</v>
      </c>
      <c r="H27" s="14" t="s">
        <v>710</v>
      </c>
      <c r="I27" s="15" t="s">
        <v>518</v>
      </c>
      <c r="J27" s="14"/>
    </row>
    <row r="28" spans="1:10" ht="42.75">
      <c r="A28" s="9">
        <v>13</v>
      </c>
      <c r="B28" s="10" t="str">
        <f>VLOOKUP($L$4&amp;"_"&amp;$A28, Khung_KeHoach_Chuan!$A$11:$J$91, 4, FALSE)</f>
        <v>III. TRIỂN KHAI / THỰC NGHIỆM</v>
      </c>
      <c r="C28" s="17" t="str">
        <f>VLOOKUP($L$4&amp;"_"&amp;$A28, Khung_KeHoach_Chuan!$A$11:$J$91, 5, FALSE)</f>
        <v>Duy trì Research Logbook, Git commit &amp; Raw Experimental Data</v>
      </c>
      <c r="D28" s="33" t="str">
        <f>VLOOKUP($L$4&amp;"_"&amp;$A28, Khung_KeHoach_Chuan!$A$11:$J$91, 6, FALSE)</f>
        <v>Lữu logs huấn luyện, checkpoints, raw outputs đảm bảo tính tái lập (Reproducibility)</v>
      </c>
      <c r="E28" s="35" t="s">
        <v>711</v>
      </c>
      <c r="F28" s="11" t="str">
        <f>VLOOKUP($L$4&amp;"_"&amp;$A28, Khung_KeHoach_Chuan!$A$11:$J$91, 7, FALSE)</f>
        <v>2026-08-06</v>
      </c>
      <c r="G28" s="11" t="str">
        <f>VLOOKUP($L$4&amp;"_"&amp;$A28, Khung_KeHoach_Chuan!$A$11:$J$91, 8, FALSE)</f>
        <v>2026-12-20</v>
      </c>
      <c r="H28" s="10" t="s">
        <v>712</v>
      </c>
      <c r="I28" s="11" t="s">
        <v>518</v>
      </c>
      <c r="J28" s="10"/>
    </row>
    <row r="29" spans="1:10" ht="42.75">
      <c r="A29" s="13">
        <v>14</v>
      </c>
      <c r="B29" s="14" t="str">
        <f>VLOOKUP($L$4&amp;"_"&amp;$A29, Khung_KeHoach_Chuan!$A$11:$J$91, 4, FALSE)</f>
        <v>IV. KIỂM THỬ &amp; ĐÁNH GIÁ</v>
      </c>
      <c r="C29" s="16" t="str">
        <f>VLOOKUP($L$4&amp;"_"&amp;$A29, Khung_KeHoach_Chuan!$A$11:$J$91, 5, FALSE)</f>
        <v>Tổng hợp số liệu thực nghiệm &amp; phân tích thống kê</v>
      </c>
      <c r="D29" s="33" t="str">
        <f>VLOOKUP($L$4&amp;"_"&amp;$A29, Khung_KeHoach_Chuan!$A$11:$J$91, 6, FALSE)</f>
        <v>Kiểm định ý nghĩa thống kê (t-test/ANOVA/Wilcoxon) để chứng minh tính vượt trội</v>
      </c>
      <c r="E29" s="35" t="s">
        <v>713</v>
      </c>
      <c r="F29" s="15" t="str">
        <f>VLOOKUP($L$4&amp;"_"&amp;$A29, Khung_KeHoach_Chuan!$A$11:$J$91, 7, FALSE)</f>
        <v>2026-12-01</v>
      </c>
      <c r="G29" s="15" t="str">
        <f>VLOOKUP($L$4&amp;"_"&amp;$A29, Khung_KeHoach_Chuan!$A$11:$J$91, 8, FALSE)</f>
        <v>2026-12-15</v>
      </c>
      <c r="H29" s="14" t="s">
        <v>714</v>
      </c>
      <c r="I29" s="15" t="s">
        <v>518</v>
      </c>
      <c r="J29" s="14"/>
    </row>
    <row r="30" spans="1:10" ht="42.75">
      <c r="A30" s="9">
        <v>15</v>
      </c>
      <c r="B30" s="10" t="str">
        <f>VLOOKUP($L$4&amp;"_"&amp;$A30, Khung_KeHoach_Chuan!$A$11:$J$91, 4, FALSE)</f>
        <v>IV. KIỂM THỬ &amp; ĐÁNH GIÁ</v>
      </c>
      <c r="C30" s="17" t="str">
        <f>VLOOKUP($L$4&amp;"_"&amp;$A30, Khung_KeHoach_Chuan!$A$11:$J$91, 5, FALSE)</f>
        <v>Ablation Study (Phân tích đóng góp của từng thành phần)</v>
      </c>
      <c r="D30" s="33" t="str">
        <f>VLOOKUP($L$4&amp;"_"&amp;$A30, Khung_KeHoach_Chuan!$A$11:$J$91, 6, FALSE)</f>
        <v>Thực nghiệm loại trừ từng thành phần mô hình để chứng minh giá trị đóng góp</v>
      </c>
      <c r="E30" s="35" t="s">
        <v>715</v>
      </c>
      <c r="F30" s="11" t="str">
        <f>VLOOKUP($L$4&amp;"_"&amp;$A30, Khung_KeHoach_Chuan!$A$11:$J$91, 7, FALSE)</f>
        <v>2026-12-10</v>
      </c>
      <c r="G30" s="11" t="str">
        <f>VLOOKUP($L$4&amp;"_"&amp;$A30, Khung_KeHoach_Chuan!$A$11:$J$91, 8, FALSE)</f>
        <v>2026-12-20</v>
      </c>
      <c r="H30" s="10" t="s">
        <v>716</v>
      </c>
      <c r="I30" s="11" t="s">
        <v>518</v>
      </c>
      <c r="J30" s="10"/>
    </row>
    <row r="31" spans="1:10" ht="42.75">
      <c r="A31" s="13">
        <v>16</v>
      </c>
      <c r="B31" s="14" t="str">
        <f>VLOOKUP($L$4&amp;"_"&amp;$A31, Khung_KeHoach_Chuan!$A$11:$J$91, 4, FALSE)</f>
        <v>IV. KIỂM THỬ &amp; ĐÁNH GIÁ</v>
      </c>
      <c r="C31" s="16" t="str">
        <f>VLOOKUP($L$4&amp;"_"&amp;$A31, Khung_KeHoach_Chuan!$A$11:$J$91, 5, FALSE)</f>
        <v>Trực quan hóa kết quả nghiên cứu &amp; so sánh State-of-the-Art</v>
      </c>
      <c r="D31" s="33" t="str">
        <f>VLOOKUP($L$4&amp;"_"&amp;$A31, Khung_KeHoach_Chuan!$A$11:$J$91, 6, FALSE)</f>
        <v>Biểu đồ chuẩn xuất bản khoa học (Confusion Matrix, Loss curves, Trade-off analysis)</v>
      </c>
      <c r="E31" s="35" t="s">
        <v>717</v>
      </c>
      <c r="F31" s="15" t="str">
        <f>VLOOKUP($L$4&amp;"_"&amp;$A31, Khung_KeHoach_Chuan!$A$11:$J$91, 7, FALSE)</f>
        <v>2026-12-15</v>
      </c>
      <c r="G31" s="15" t="str">
        <f>VLOOKUP($L$4&amp;"_"&amp;$A31, Khung_KeHoach_Chuan!$A$11:$J$91, 8, FALSE)</f>
        <v>2026-12-28</v>
      </c>
      <c r="H31" s="14" t="s">
        <v>718</v>
      </c>
      <c r="I31" s="15" t="s">
        <v>518</v>
      </c>
      <c r="J31" s="14"/>
    </row>
    <row r="32" spans="1:10" ht="42.75">
      <c r="A32" s="9">
        <v>17</v>
      </c>
      <c r="B32" s="10" t="str">
        <f>VLOOKUP($L$4&amp;"_"&amp;$A32, Khung_KeHoach_Chuan!$A$11:$J$91, 4, FALSE)</f>
        <v>IV. KIỂM THỬ &amp; ĐÁNH GIÁ</v>
      </c>
      <c r="C32" s="17" t="str">
        <f>VLOOKUP($L$4&amp;"_"&amp;$A32, Khung_KeHoach_Chuan!$A$11:$J$91, 5, FALSE)</f>
        <v>Thảo luận kết quả (Discussion), đóng góp mới &amp; hạn chế</v>
      </c>
      <c r="D32" s="33" t="str">
        <f>VLOOKUP($L$4&amp;"_"&amp;$A32, Khung_KeHoach_Chuan!$A$11:$J$91, 6, FALSE)</f>
        <v>Lý giải tại sao mô hình đạt hiệu quả cao, phân tích case lỗi (error analysis), giới hạn nghiên cứu</v>
      </c>
      <c r="E32" s="35" t="s">
        <v>719</v>
      </c>
      <c r="F32" s="11" t="str">
        <f>VLOOKUP($L$4&amp;"_"&amp;$A32, Khung_KeHoach_Chuan!$A$11:$J$91, 7, FALSE)</f>
        <v>2026-12-20</v>
      </c>
      <c r="G32" s="11" t="str">
        <f>VLOOKUP($L$4&amp;"_"&amp;$A32, Khung_KeHoach_Chuan!$A$11:$J$91, 8, FALSE)</f>
        <v>2027-01-05</v>
      </c>
      <c r="H32" s="10" t="str">
        <f>VLOOKUP($L$4&amp;"_"&amp;$A32, Khung_KeHoach_Chuan!$A$11:$J$91, 9, FALSE)</f>
        <v>Chương Thảo luận &amp; Phân tích đóng góp học thuật</v>
      </c>
      <c r="I32" s="11" t="s">
        <v>518</v>
      </c>
      <c r="J32" s="10"/>
    </row>
    <row r="33" spans="1:10" ht="42.75">
      <c r="A33" s="13">
        <v>18</v>
      </c>
      <c r="B33" s="14" t="str">
        <f>VLOOKUP($L$4&amp;"_"&amp;$A33, Khung_KeHoach_Chuan!$A$11:$J$91, 4, FALSE)</f>
        <v>V. VIẾT &amp; HOÀN THIỆN BÁO CÁO</v>
      </c>
      <c r="C33" s="16" t="str">
        <f>VLOOKUP($L$4&amp;"_"&amp;$A33, Khung_KeHoach_Chuan!$A$11:$J$91, 5, FALSE)</f>
        <v>Soạn thảo Chương 1, 2, 3 (Introduction, Background)</v>
      </c>
      <c r="D33" s="33" t="str">
        <f>VLOOKUP($L$4&amp;"_"&amp;$A33, Khung_KeHoach_Chuan!$A$11:$J$91, 6, FALSE)</f>
        <v>Introduction, Literature Review, Methodology theo chuẩn cấu trúc Khóa luận tốt nghiệp</v>
      </c>
      <c r="E33" s="35" t="s">
        <v>720</v>
      </c>
      <c r="F33" s="15" t="str">
        <f>VLOOKUP($L$4&amp;"_"&amp;$A33, Khung_KeHoach_Chuan!$A$11:$J$91, 7, FALSE)</f>
        <v>2026-11-15</v>
      </c>
      <c r="G33" s="15" t="str">
        <f>VLOOKUP($L$4&amp;"_"&amp;$A33, Khung_KeHoach_Chuan!$A$11:$J$91, 8, FALSE)</f>
        <v>2026-12-15</v>
      </c>
      <c r="H33" s="14" t="str">
        <f>VLOOKUP($L$4&amp;"_"&amp;$A33, Khung_KeHoach_Chuan!$A$11:$J$91, 9, FALSE)</f>
        <v>Bản thảo Chương 1, 2, 3 hoàn chỉnh</v>
      </c>
      <c r="I33" s="15" t="s">
        <v>518</v>
      </c>
      <c r="J33" s="14"/>
    </row>
    <row r="34" spans="1:10" ht="28.5">
      <c r="A34" s="9">
        <v>19</v>
      </c>
      <c r="B34" s="10" t="str">
        <f>VLOOKUP($L$4&amp;"_"&amp;$A34, Khung_KeHoach_Chuan!$A$11:$J$91, 4, FALSE)</f>
        <v>V. VIẾT &amp; HOÀN THIỆN BÁO CÁO</v>
      </c>
      <c r="C34" s="17" t="str">
        <f>VLOOKUP($L$4&amp;"_"&amp;$A34, Khung_KeHoach_Chuan!$A$11:$J$91, 5, FALSE)</f>
        <v>Soạn thảo Chương Thực nghiệm, Kết quả &amp; Thảo luận (Chương 4, 5)</v>
      </c>
      <c r="D34" s="33" t="str">
        <f>VLOOKUP($L$4&amp;"_"&amp;$A34, Khung_KeHoach_Chuan!$A$11:$J$91, 6, FALSE)</f>
        <v>Thiết lập thực nghiệm, phân tích kết quả, so sánh baseline và ablation study</v>
      </c>
      <c r="E34" s="35" t="s">
        <v>721</v>
      </c>
      <c r="F34" s="11" t="str">
        <f>VLOOKUP($L$4&amp;"_"&amp;$A34, Khung_KeHoach_Chuan!$A$11:$J$91, 7, FALSE)</f>
        <v>2026-12-15</v>
      </c>
      <c r="G34" s="11" t="str">
        <f>VLOOKUP($L$4&amp;"_"&amp;$A34, Khung_KeHoach_Chuan!$A$11:$J$91, 8, FALSE)</f>
        <v>2027-01-02</v>
      </c>
      <c r="H34" s="10" t="str">
        <f>VLOOKUP($L$4&amp;"_"&amp;$A34, Khung_KeHoach_Chuan!$A$11:$J$91, 9, FALSE)</f>
        <v>Bản thảo Chương 4, 5 đạt chuẩn học thuật cao</v>
      </c>
      <c r="I34" s="11" t="s">
        <v>518</v>
      </c>
      <c r="J34" s="10"/>
    </row>
    <row r="35" spans="1:10" ht="42.75">
      <c r="A35" s="13">
        <v>20</v>
      </c>
      <c r="B35" s="14" t="str">
        <f>VLOOKUP($L$4&amp;"_"&amp;$A35, Khung_KeHoach_Chuan!$A$11:$J$91, 4, FALSE)</f>
        <v>V. VIẾT &amp; HOÀN THIỆN BÁO CÁO</v>
      </c>
      <c r="C35" s="16" t="str">
        <f>VLOOKUP($L$4&amp;"_"&amp;$A35, Khung_KeHoach_Chuan!$A$11:$J$91, 5, FALSE)</f>
        <v>Hoàn thành toàn văn Khóa luận (100% Full Manuscript)</v>
      </c>
      <c r="D35" s="33" t="str">
        <f>VLOOKUP($L$4&amp;"_"&amp;$A35, Khung_KeHoach_Chuan!$A$11:$J$91, 6, FALSE)</f>
        <v>Conclusion, Future Works, Abstract song ngữ Anh-Việt, kiểm tra danh mục trích dẫn</v>
      </c>
      <c r="E35" s="35" t="s">
        <v>722</v>
      </c>
      <c r="F35" s="15" t="str">
        <f>VLOOKUP($L$4&amp;"_"&amp;$A35, Khung_KeHoach_Chuan!$A$11:$J$91, 7, FALSE)</f>
        <v>2027-01-01</v>
      </c>
      <c r="G35" s="15" t="str">
        <f>VLOOKUP($L$4&amp;"_"&amp;$A35, Khung_KeHoach_Chuan!$A$11:$J$91, 8, FALSE)</f>
        <v>2027-01-05</v>
      </c>
      <c r="H35" s="14" t="str">
        <f>VLOOKUP($L$4&amp;"_"&amp;$A35, Khung_KeHoach_Chuan!$A$11:$J$91, 9, FALSE)</f>
        <v>Bản thảo toàn văn KLTN 100% (Full Manuscript)</v>
      </c>
      <c r="I35" s="15" t="s">
        <v>518</v>
      </c>
      <c r="J35" s="14"/>
    </row>
    <row r="36" spans="1:10" ht="42.75">
      <c r="A36" s="9">
        <v>21</v>
      </c>
      <c r="B36" s="10" t="str">
        <f>VLOOKUP($L$4&amp;"_"&amp;$A36, Khung_KeHoach_Chuan!$A$11:$J$91, 4, FALSE)</f>
        <v>V. VIẾT &amp; HOÀN THIỆN BÁO CÁO</v>
      </c>
      <c r="C36" s="17" t="str">
        <f>VLOOKUP($L$4&amp;"_"&amp;$A36, Khung_KeHoach_Chuan!$A$11:$J$91, 5, FALSE)</f>
        <v>GVHD phản biện học thuật &amp; kiểm tra trùng lặp Turnitin</v>
      </c>
      <c r="D36" s="33" t="str">
        <f>VLOOKUP($L$4&amp;"_"&amp;$A36, Khung_KeHoach_Chuan!$A$11:$J$91, 6, FALSE)</f>
        <v>ThS. Lê Viết Thanh duyệt góp ý chuyên sâu; kiểm tra tỷ lệ tương đồng học thuật</v>
      </c>
      <c r="E36" s="35" t="s">
        <v>723</v>
      </c>
      <c r="F36" s="11" t="str">
        <f>VLOOKUP($L$4&amp;"_"&amp;$A36, Khung_KeHoach_Chuan!$A$11:$J$91, 7, FALSE)</f>
        <v>2027-01-03</v>
      </c>
      <c r="G36" s="11" t="str">
        <f>VLOOKUP($L$4&amp;"_"&amp;$A36, Khung_KeHoach_Chuan!$A$11:$J$91, 8, FALSE)</f>
        <v>2027-01-05</v>
      </c>
      <c r="H36" s="10" t="str">
        <f>VLOOKUP($L$4&amp;"_"&amp;$A36, Khung_KeHoach_Chuan!$A$11:$J$91, 9, FALSE)</f>
        <v>Báo cáo Turnitin đạt chuẩn + Bản chỉnh sửa hoàn thiện</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KHÓA LUẬN (FINAL CLEAN REPORT)</v>
      </c>
      <c r="D37" s="33" t="str">
        <f>VLOOKUP($L$4&amp;"_"&amp;$A37, Khung_KeHoach_Chuan!$A$11:$J$91, 6, FALSE)</f>
        <v>Khóa nội dung toàn văn, định dạng chuẩn form KLTN TDTU, sẵn sàng in ấn</v>
      </c>
      <c r="E37" s="35" t="s">
        <v>724</v>
      </c>
      <c r="F37" s="20" t="str">
        <f>VLOOKUP($L$4&amp;"_"&amp;$A37, Khung_KeHoach_Chuan!$A$11:$J$91, 7, FALSE)</f>
        <v>2027-01-05</v>
      </c>
      <c r="G37" s="20" t="str">
        <f>VLOOKUP($L$4&amp;"_"&amp;$A37, Khung_KeHoach_Chuan!$A$11:$J$91, 8, FALSE)</f>
        <v>2027-01-05</v>
      </c>
      <c r="H37" s="21" t="str">
        <f>VLOOKUP($L$4&amp;"_"&amp;$A37, Khung_KeHoach_Chuan!$A$11:$J$91, 9, FALSE)</f>
        <v>BÁO CÁO SẠCH FINAL - SẴN SÀNG NỘP</v>
      </c>
      <c r="I37" s="20" t="s">
        <v>518</v>
      </c>
      <c r="J37" s="21"/>
    </row>
    <row r="38" spans="1:10" ht="42.75">
      <c r="A38" s="19">
        <v>23</v>
      </c>
      <c r="B38" s="21" t="str">
        <f>VLOOKUP($L$4&amp;"_"&amp;$A38, Khung_KeHoach_Chuan!$A$11:$J$91, 4, FALSE)</f>
        <v>VI. NỘP CUỐI KỲ, PHẢN BIỆN &amp; BẢO VỆ KLTN</v>
      </c>
      <c r="C38" s="31" t="str">
        <f>VLOOKUP($L$4&amp;"_"&amp;$A38, Khung_KeHoach_Chuan!$A$11:$J$91, 5, FALSE)</f>
        <v>NỘP BÁO CÁO CUỐI KỲ (TURNITIN + ELIT + IN 3 CUỐN)</v>
      </c>
      <c r="D38" s="33" t="str">
        <f>VLOOKUP($L$4&amp;"_"&amp;$A38, Khung_KeHoach_Chuan!$A$11:$J$91, 6, FALSE)</f>
        <v>Nộp file (Turnitin, KLTN, ELIT) + Nộp 03 cuốn bìa thường kèm đĩa CD tại Khoa</v>
      </c>
      <c r="E38" s="35" t="s">
        <v>725</v>
      </c>
      <c r="F38" s="20" t="str">
        <f>VLOOKUP($L$4&amp;"_"&amp;$A38, Khung_KeHoach_Chuan!$A$11:$J$91, 7, FALSE)</f>
        <v>2027-01-15</v>
      </c>
      <c r="G38" s="20" t="str">
        <f>VLOOKUP($L$4&amp;"_"&amp;$A38, Khung_KeHoach_Chuan!$A$11:$J$91, 8, FALSE)</f>
        <v>2027-01-25</v>
      </c>
      <c r="H38" s="21" t="str">
        <f>VLOOKUP($L$4&amp;"_"&amp;$A38, Khung_KeHoach_Chuan!$A$11:$J$91, 9, FALSE)</f>
        <v>Xác nhận nộp bài file mềm + Biên nhận nộp 03 cuốn</v>
      </c>
      <c r="I38" s="20" t="s">
        <v>518</v>
      </c>
      <c r="J38" s="21"/>
    </row>
    <row r="39" spans="1:10" ht="28.5">
      <c r="A39" s="13">
        <v>24</v>
      </c>
      <c r="B39" s="14" t="str">
        <f>VLOOKUP($L$4&amp;"_"&amp;$A39, Khung_KeHoach_Chuan!$A$11:$J$91, 4, FALSE)</f>
        <v>VI. NỘP CUỐI KỲ, PHẢN BIỆN &amp; BẢO VỆ KLTN</v>
      </c>
      <c r="C39" s="16" t="str">
        <f>VLOOKUP($L$4&amp;"_"&amp;$A39, Khung_KeHoach_Chuan!$A$11:$J$91, 5, FALSE)</f>
        <v>GVHD xác nhận duyệt sinh viên ra Hội đồng phản biện</v>
      </c>
      <c r="D39" s="33" t="str">
        <f>VLOOKUP($L$4&amp;"_"&amp;$A39, Khung_KeHoach_Chuan!$A$11:$J$91, 6, FALSE)</f>
        <v>ThS. Lê Viết Thanh ký duyệt cho sinh viên ra Hội đồng phản biện</v>
      </c>
      <c r="E39" s="35" t="s">
        <v>726</v>
      </c>
      <c r="F39" s="15" t="str">
        <f>VLOOKUP($L$4&amp;"_"&amp;$A39, Khung_KeHoach_Chuan!$A$11:$J$91, 7, FALSE)</f>
        <v>2027-01-20</v>
      </c>
      <c r="G39" s="15" t="str">
        <f>VLOOKUP($L$4&amp;"_"&amp;$A39, Khung_KeHoach_Chuan!$A$11:$J$91, 8, FALSE)</f>
        <v>2027-01-24</v>
      </c>
      <c r="H39" s="14" t="str">
        <f>VLOOKUP($L$4&amp;"_"&amp;$A39, Khung_KeHoach_Chuan!$A$11:$J$91, 9, FALSE)</f>
        <v>Phiếu xác nhận của GVHD đủ điều kiện bảo vệ</v>
      </c>
      <c r="I39" s="15" t="s">
        <v>518</v>
      </c>
      <c r="J39" s="14"/>
    </row>
    <row r="40" spans="1:10" ht="42.75">
      <c r="A40" s="9">
        <v>25</v>
      </c>
      <c r="B40" s="10" t="str">
        <f>VLOOKUP($L$4&amp;"_"&amp;$A40, Khung_KeHoach_Chuan!$A$11:$J$91, 4, FALSE)</f>
        <v>VI. NỘP CUỐI KỲ, PHẢN BIỆN &amp; BẢO VỆ KLTN</v>
      </c>
      <c r="C40" s="17" t="str">
        <f>VLOOKUP($L$4&amp;"_"&amp;$A40, Khung_KeHoach_Chuan!$A$11:$J$91, 5, FALSE)</f>
        <v>Gặp &amp; Báo cáo với Giảng viên phản biện (GVPB)</v>
      </c>
      <c r="D40" s="33" t="str">
        <f>VLOOKUP($L$4&amp;"_"&amp;$A40, Khung_KeHoach_Chuan!$A$11:$J$91, 6, FALSE)</f>
        <v>Trình bày kết quả nghiên cứu mô hình ML trong SDN/SD-WAN với GVPB; nhận phiếu chấm điểm</v>
      </c>
      <c r="E40" s="35" t="s">
        <v>727</v>
      </c>
      <c r="F40" s="11" t="str">
        <f>VLOOKUP($L$4&amp;"_"&amp;$A40, Khung_KeHoach_Chuan!$A$11:$J$91, 7, FALSE)</f>
        <v>2027-02-19</v>
      </c>
      <c r="G40" s="11" t="str">
        <f>VLOOKUP($L$4&amp;"_"&amp;$A40, Khung_KeHoach_Chuan!$A$11:$J$91, 8, FALSE)</f>
        <v>2027-02-24</v>
      </c>
      <c r="H40" s="10" t="str">
        <f>VLOOKUP($L$4&amp;"_"&amp;$A40, Khung_KeHoach_Chuan!$A$11:$J$91, 9, FALSE)</f>
        <v>Phiếu chấm điểm phản biện của GVPB</v>
      </c>
      <c r="I40" s="11" t="s">
        <v>518</v>
      </c>
      <c r="J40" s="10"/>
    </row>
    <row r="41" spans="1:10" ht="42.75">
      <c r="A41" s="13">
        <v>26</v>
      </c>
      <c r="B41" s="14" t="str">
        <f>VLOOKUP($L$4&amp;"_"&amp;$A41, Khung_KeHoach_Chuan!$A$11:$J$91, 4, FALSE)</f>
        <v>VI. NỘP CUỐI KỲ, PHẢN BIỆN &amp; BẢO VỆ KLTN</v>
      </c>
      <c r="C41" s="16" t="str">
        <f>VLOOKUP($L$4&amp;"_"&amp;$A41, Khung_KeHoach_Chuan!$A$11:$J$91, 5, FALSE)</f>
        <v>TỔ CHỨC HỘI ĐỔNG BẢO VỆ KHÓA LUẬN TỐT NGHIỆP</v>
      </c>
      <c r="D41" s="33" t="str">
        <f>VLOOKUP($L$4&amp;"_"&amp;$A41, Khung_KeHoach_Chuan!$A$11:$J$91, 6, FALSE)</f>
        <v>Bảo vệ chính thức trước Hội đồng chấm Khóa luận tốt nghiệp Trường ĐH Tôn Đức Thắng</v>
      </c>
      <c r="E41" s="35" t="s">
        <v>728</v>
      </c>
      <c r="F41" s="15" t="str">
        <f>VLOOKUP($L$4&amp;"_"&amp;$A41, Khung_KeHoach_Chuan!$A$11:$J$91, 7, FALSE)</f>
        <v>2027-03-03</v>
      </c>
      <c r="G41" s="15" t="str">
        <f>VLOOKUP($L$4&amp;"_"&amp;$A41, Khung_KeHoach_Chuan!$A$11:$J$91, 8, FALSE)</f>
        <v>2027-03-06</v>
      </c>
      <c r="H41" s="14" t="str">
        <f>VLOOKUP($L$4&amp;"_"&amp;$A41, Khung_KeHoach_Chuan!$A$11:$J$91, 9, FALSE)</f>
        <v>Biên bản chấm điểm &amp; Đánh giá của Hội đồng</v>
      </c>
      <c r="I41" s="15" t="s">
        <v>518</v>
      </c>
      <c r="J41" s="14"/>
    </row>
    <row r="42" spans="1:10" ht="42.75">
      <c r="A42" s="19">
        <v>27</v>
      </c>
      <c r="B42" s="21" t="str">
        <f>VLOOKUP($L$4&amp;"_"&amp;$A42, Khung_KeHoach_Chuan!$A$11:$J$91, 4, FALSE)</f>
        <v>VI. NỘP CUỐI KỲ, PHẢN BIỆN &amp; BẢO VỆ KLTN</v>
      </c>
      <c r="C42" s="31" t="str">
        <f>VLOOKUP($L$4&amp;"_"&amp;$A42, Khung_KeHoach_Chuan!$A$11:$J$91, 5, FALSE)</f>
        <v>Điều chỉnh báo cáo &amp; Nộp cuốn KLTN mạ vàng chính thức</v>
      </c>
      <c r="D42" s="33" t="str">
        <f>VLOOKUP($L$4&amp;"_"&amp;$A42, Khung_KeHoach_Chuan!$A$11:$J$91, 6, FALSE)</f>
        <v>Hoàn thiện chỉnh sửa theo biên bản Hội đồng, đóng bìa mạ vàng và nộp chính thức về VP Khoa</v>
      </c>
      <c r="E42" s="35" t="s">
        <v>729</v>
      </c>
      <c r="F42" s="20" t="str">
        <f>VLOOKUP($L$4&amp;"_"&amp;$A42, Khung_KeHoach_Chuan!$A$11:$J$91, 7, FALSE)</f>
        <v>2027-03-07</v>
      </c>
      <c r="G42" s="20" t="str">
        <f>VLOOKUP($L$4&amp;"_"&amp;$A42, Khung_KeHoach_Chuan!$A$11:$J$91, 8, FALSE)</f>
        <v>2027-04-06</v>
      </c>
      <c r="H42" s="21" t="str">
        <f>VLOOKUP($L$4&amp;"_"&amp;$A42, Khung_KeHoach_Chuan!$A$11:$J$91, 9, FALSE)</f>
        <v>Biên nhận nộp cuốn KLTN mạ vàng chính thức</v>
      </c>
      <c r="I42" s="20" t="s">
        <v>518</v>
      </c>
      <c r="J42" s="21"/>
    </row>
    <row r="43" spans="1:10" ht="15.75" customHeight="1">
      <c r="A43" s="95" t="s">
        <v>519</v>
      </c>
      <c r="B43" s="95"/>
      <c r="C43" s="95"/>
      <c r="D43" s="95"/>
      <c r="E43" s="95"/>
      <c r="F43" s="95"/>
      <c r="G43" s="95"/>
      <c r="H43" s="95"/>
      <c r="I43" s="95"/>
      <c r="J43" s="38"/>
    </row>
    <row r="44" spans="1:10">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B00-000000000000}">
      <formula1>"Dự án CNTT,Đồ án tốt nghiệp,Khóa luận tốt nghiệp,Dự án + Đồ án,Dự án + Khóa luận"</formula1>
    </dataValidation>
    <dataValidation type="list" allowBlank="1" sqref="I16:I42" xr:uid="{00000000-0002-0000-0B00-000001000000}">
      <formula1>"Chưa bắt đầu,Đang thực hiện,Hoàn thành,Tạm hoãn - Bị chặn"</formula1>
    </dataValidation>
    <dataValidation type="list" allowBlank="1" showInputMessage="1" showErrorMessage="1" sqref="C10" xr:uid="{DF43E680-3E5E-4B7E-8A99-CEA0D1C9469C}">
      <formula1>"Dự án CNTT,Đồ án tốt nghiệp,Khóa luận tốt nghiệp"</formula1>
    </dataValidation>
    <dataValidation type="list" allowBlank="1" showInputMessage="1" showErrorMessage="1" sqref="I45:I71" xr:uid="{5EDEBAEF-F3F8-405B-91DB-2D552E691CD0}">
      <formula1>"Chưa bắt đầu,Đang thực hiện,Hoàn thành,Tạm hoãn - Bị chặn"</formula1>
    </dataValidation>
  </dataValidations>
  <hyperlinks>
    <hyperlink ref="C7" r:id="rId1" xr:uid="{8D2BF237-7AA7-41D5-B05B-2ABA7DA9C955}"/>
    <hyperlink ref="G7" r:id="rId2" xr:uid="{B8AD3F62-73FC-4A8D-89CC-5C8B998EC79E}"/>
  </hyperlinks>
  <pageMargins left="0.75" right="0.75" top="1" bottom="1" header="0" footer="0"/>
  <pageSetup orientation="landscape"/>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selection activeCell="C4" sqref="C4"/>
    </sheetView>
  </sheetViews>
  <sheetFormatPr defaultColWidth="14.42578125" defaultRowHeight="15" customHeight="1"/>
  <cols>
    <col min="1" max="1" width="24.42578125" customWidth="1"/>
    <col min="2" max="2" width="28.85546875" customWidth="1"/>
    <col min="3" max="3" width="38.42578125" customWidth="1"/>
    <col min="4" max="5" width="57.5703125" customWidth="1"/>
    <col min="6" max="6" width="15.7109375" customWidth="1"/>
    <col min="7" max="7" width="16.85546875" customWidth="1"/>
    <col min="8" max="8" width="42" customWidth="1"/>
    <col min="9" max="9" width="21.7109375" customWidth="1"/>
    <col min="10" max="10" width="36" customWidth="1"/>
    <col min="11" max="27" width="8.7109375" customWidth="1"/>
  </cols>
  <sheetData>
    <row r="1" spans="1:12" ht="18">
      <c r="A1" s="83" t="s">
        <v>730</v>
      </c>
      <c r="B1" s="84"/>
      <c r="C1" s="84"/>
      <c r="D1" s="84"/>
      <c r="E1" s="84"/>
      <c r="F1" s="84"/>
      <c r="G1" s="84"/>
      <c r="H1" s="84"/>
      <c r="I1" s="84"/>
      <c r="J1" s="38"/>
    </row>
    <row r="2" spans="1:12" ht="18">
      <c r="A2" s="85" t="s">
        <v>486</v>
      </c>
      <c r="B2" s="84"/>
      <c r="C2" s="84"/>
      <c r="D2" s="84"/>
      <c r="E2" s="84"/>
      <c r="F2" s="84"/>
      <c r="G2" s="84"/>
      <c r="H2" s="84"/>
      <c r="I2" s="84"/>
      <c r="J2" s="38"/>
    </row>
    <row r="3" spans="1:12" ht="18">
      <c r="A3" s="38"/>
      <c r="B3" s="38"/>
      <c r="C3" s="38"/>
      <c r="D3" s="38"/>
      <c r="E3" s="38"/>
      <c r="F3" s="38"/>
      <c r="G3" s="38"/>
      <c r="H3" s="38"/>
      <c r="I3" s="38"/>
      <c r="J3" s="38"/>
    </row>
    <row r="4" spans="1:12" ht="57">
      <c r="A4" s="22" t="s">
        <v>487</v>
      </c>
      <c r="B4" s="1"/>
      <c r="C4" s="23" t="s">
        <v>53</v>
      </c>
      <c r="D4" s="1"/>
      <c r="E4" s="1"/>
      <c r="F4" s="22" t="s">
        <v>488</v>
      </c>
      <c r="G4" s="24" t="s">
        <v>489</v>
      </c>
      <c r="H4" s="1"/>
      <c r="I4" s="1"/>
      <c r="J4" s="38"/>
      <c r="L4" s="37" t="str">
        <f>IF(OR($C$4="Dự án + Đồ án",$C$4="Dự án + Khóa luận"),"Dự án CNTT",$C$4)</f>
        <v>Đồ án tốt nghiệp</v>
      </c>
    </row>
    <row r="5" spans="1:12" ht="42.75">
      <c r="A5" s="17" t="s">
        <v>490</v>
      </c>
      <c r="B5" s="1"/>
      <c r="C5" s="86" t="s">
        <v>731</v>
      </c>
      <c r="D5" s="87"/>
      <c r="E5" s="87"/>
      <c r="F5" s="87"/>
      <c r="G5" s="87"/>
      <c r="H5" s="87"/>
      <c r="I5" s="88"/>
      <c r="J5" s="38"/>
    </row>
    <row r="6" spans="1:12" ht="71.25">
      <c r="A6" s="22" t="s">
        <v>492</v>
      </c>
      <c r="B6" s="1"/>
      <c r="C6" s="10" t="s">
        <v>646</v>
      </c>
      <c r="D6" s="1"/>
      <c r="E6" s="1"/>
      <c r="F6" s="22" t="s">
        <v>494</v>
      </c>
      <c r="G6" s="10" t="s">
        <v>641</v>
      </c>
      <c r="H6" s="1"/>
      <c r="I6" s="1"/>
      <c r="J6" s="38"/>
    </row>
    <row r="7" spans="1:12" ht="42.75">
      <c r="A7" s="22" t="s">
        <v>496</v>
      </c>
      <c r="B7" s="1"/>
      <c r="C7" s="25" t="s">
        <v>647</v>
      </c>
      <c r="D7" s="1"/>
      <c r="E7" s="1"/>
      <c r="F7" s="22" t="s">
        <v>498</v>
      </c>
      <c r="G7" s="25" t="s">
        <v>643</v>
      </c>
      <c r="H7" s="1"/>
      <c r="I7" s="1"/>
      <c r="J7" s="38"/>
    </row>
    <row r="8" spans="1:12" ht="42.75">
      <c r="A8" s="22" t="s">
        <v>500</v>
      </c>
      <c r="B8" s="1"/>
      <c r="C8" s="17" t="str">
        <f>VLOOKUP($L$4, Khung_KeHoach_Chuan!$A$5:$H$7, 2, FALSE)</f>
        <v>2026-08-24</v>
      </c>
      <c r="D8" s="1"/>
      <c r="E8" s="1"/>
      <c r="F8" s="22" t="s">
        <v>501</v>
      </c>
      <c r="G8" s="26" t="str">
        <f>VLOOKUP($L$4, Khung_KeHoach_Chuan!$A$5:$H$7, 4, FALSE)</f>
        <v>2026-12-10</v>
      </c>
      <c r="H8" s="1"/>
      <c r="I8" s="1"/>
      <c r="J8" s="38"/>
    </row>
    <row r="9" spans="1:12" ht="57">
      <c r="A9" s="22" t="s">
        <v>502</v>
      </c>
      <c r="B9" s="1"/>
      <c r="C9" s="26" t="str">
        <f>VLOOKUP($L$4, Khung_KeHoach_Chuan!$A$5:$H$7, 5, FALSE)</f>
        <v>2026-12-27</v>
      </c>
      <c r="D9" s="1"/>
      <c r="E9" s="1"/>
      <c r="F9" s="22" t="s">
        <v>503</v>
      </c>
      <c r="G9" s="27" t="str">
        <f>VLOOKUP($L$4, Khung_KeHoach_Chuan!$A$5:$H$7, 7, FALSE)</f>
        <v>13/01/2027 – 18/01/2027</v>
      </c>
      <c r="H9" s="1"/>
      <c r="I9" s="1"/>
      <c r="J9" s="38"/>
    </row>
    <row r="10" spans="1:12" ht="71.25">
      <c r="A10" s="22" t="s">
        <v>504</v>
      </c>
      <c r="B10" s="1"/>
      <c r="C10" s="36"/>
      <c r="D10" s="38"/>
      <c r="E10" s="38"/>
      <c r="F10" s="38"/>
      <c r="G10" s="38"/>
      <c r="H10" s="38"/>
      <c r="I10" s="38"/>
      <c r="J10" s="38"/>
    </row>
    <row r="11" spans="1:12" ht="18">
      <c r="A11" s="89" t="s">
        <v>505</v>
      </c>
      <c r="B11" s="84"/>
      <c r="C11" s="84"/>
      <c r="D11" s="84"/>
      <c r="E11" s="84"/>
      <c r="F11" s="84"/>
      <c r="G11" s="84"/>
      <c r="H11" s="84"/>
      <c r="I11" s="84"/>
      <c r="J11" s="38"/>
    </row>
    <row r="12" spans="1:12" ht="38.25">
      <c r="A12" s="2" t="s">
        <v>506</v>
      </c>
      <c r="B12" s="2" t="s">
        <v>507</v>
      </c>
      <c r="C12" s="2" t="s">
        <v>508</v>
      </c>
      <c r="D12" s="2" t="s">
        <v>509</v>
      </c>
      <c r="E12" s="2"/>
      <c r="F12" s="2" t="s">
        <v>510</v>
      </c>
      <c r="G12" s="2" t="s">
        <v>17</v>
      </c>
      <c r="H12" s="2" t="s">
        <v>511</v>
      </c>
      <c r="I12" s="2" t="s">
        <v>512</v>
      </c>
      <c r="J12" s="38"/>
    </row>
    <row r="13" spans="1:12" ht="46.5">
      <c r="A13" s="28">
        <f>COUNTA(C16:C42) + IF($C$10&lt;&gt;"", COUNTA(C45:C71), 0)</f>
        <v>27</v>
      </c>
      <c r="B13" s="5">
        <f>COUNTIF(I16:I42, "Hoàn thành") + IF($C$10&lt;&gt;"", COUNTIF(I45:I71, "Hoàn thành"), 0)</f>
        <v>0</v>
      </c>
      <c r="C13" s="3">
        <f>COUNTIF(I16:I42, "Đang thực hiện") + IF($C$10&lt;&gt;"", COUNTIF(I45:I71, "Đang thực hiện"), 0)</f>
        <v>0</v>
      </c>
      <c r="D13" s="4">
        <f>COUNTIF(I16:I42, "Chưa bắt đầu") + IF($C$10&lt;&gt;"", COUNTIF(I45:I71, "Chưa bắt đầu"), 0)</f>
        <v>27</v>
      </c>
      <c r="E13" s="4"/>
      <c r="F13" s="29">
        <f>COUNTIF(I16:I42, "Tạm hoãn - Bị chặn") + IF($C$10&lt;&gt;"", COUNTIF(I45:I71, "Tạm hoãn - Bị chặn"), 0)</f>
        <v>0</v>
      </c>
      <c r="G13" s="28" t="str">
        <f>G8</f>
        <v>2026-12-10</v>
      </c>
      <c r="H13" s="30">
        <f>B13/A13</f>
        <v>0</v>
      </c>
      <c r="I13" s="28" t="str">
        <f>IF(H13=1, "ĐÃ HOÀN TẤT", IF(H13&gt;=0.5, "ĐANG ĐÚNG HẠN", IF(F13&gt;0, "CẦN HỖ TRỢ", "ĐANG THỰC HIỆN")))</f>
        <v>ĐANG THỰC HIỆN</v>
      </c>
      <c r="J13" s="38"/>
    </row>
    <row r="14" spans="1:12" ht="18">
      <c r="A14" s="38"/>
      <c r="B14" s="38"/>
      <c r="C14" s="38"/>
      <c r="D14" s="38"/>
      <c r="E14" s="38"/>
      <c r="F14" s="38"/>
      <c r="G14" s="38"/>
      <c r="H14" s="38"/>
      <c r="I14" s="38"/>
      <c r="J14" s="38"/>
    </row>
    <row r="15" spans="1:12">
      <c r="A15" s="8" t="s">
        <v>8</v>
      </c>
      <c r="B15" s="8" t="s">
        <v>70</v>
      </c>
      <c r="C15" s="8" t="s">
        <v>71</v>
      </c>
      <c r="D15" s="8" t="s">
        <v>513</v>
      </c>
      <c r="E15" s="8" t="s">
        <v>514</v>
      </c>
      <c r="F15" s="8" t="s">
        <v>73</v>
      </c>
      <c r="G15" s="8" t="s">
        <v>74</v>
      </c>
      <c r="H15" s="8" t="s">
        <v>75</v>
      </c>
      <c r="I15" s="8" t="s">
        <v>515</v>
      </c>
      <c r="J15" s="8" t="s">
        <v>516</v>
      </c>
    </row>
    <row r="16" spans="1:12" ht="28.5">
      <c r="A16" s="9">
        <v>1</v>
      </c>
      <c r="B16" s="10" t="str">
        <f>VLOOKUP($L$4&amp;"_"&amp;$A16, Khung_KeHoach_Chuan!$A$11:$J$91, 4, FALSE)</f>
        <v>I. ĐỊNH HƯỚNG &amp; PHƯƠNG PHÁP LUẬN</v>
      </c>
      <c r="C16" s="17" t="str">
        <f>VLOOKUP($L$4&amp;"_"&amp;$A16, Khung_KeHoach_Chuan!$A$11:$J$91, 5, FALSE)</f>
        <v>Xác định đề tài nghiên cứu ứng dụng ML trong SDN/SD-WAN &amp; phạm vi ĐATN</v>
      </c>
      <c r="D16" s="33" t="str">
        <f>VLOOKUP($L$4&amp;"_"&amp;$A16, Khung_KeHoach_Chuan!$A$11:$J$91, 6, FALSE)</f>
        <v>Bài toán mạng cụ thể (định tuyến thông minh/phát hiện tấn công/tối ưu QoS bằng ML), mục tiêu &amp; phạm vi</v>
      </c>
      <c r="E16" s="35"/>
      <c r="F16" s="11" t="str">
        <f>VLOOKUP($L$4&amp;"_"&amp;$A16, Khung_KeHoach_Chuan!$A$11:$J$91, 7, FALSE)</f>
        <v>2026-08-24</v>
      </c>
      <c r="G16" s="11" t="str">
        <f>VLOOKUP($L$4&amp;"_"&amp;$A16, Khung_KeHoach_Chuan!$A$11:$J$91, 8, FALSE)</f>
        <v>2026-08-31</v>
      </c>
      <c r="H16" s="10" t="str">
        <f>VLOOKUP($L$4&amp;"_"&amp;$A16, Khung_KeHoach_Chuan!$A$11:$J$91, 9, FALSE)</f>
        <v>Đề cương chi tiết ĐATN + Tuyên bố bài toán &amp; phạm vi ứng dụng ML/SDN</v>
      </c>
      <c r="I16" s="11" t="s">
        <v>518</v>
      </c>
      <c r="J16" s="10"/>
    </row>
    <row r="17" spans="1:10" ht="28.5">
      <c r="A17" s="13">
        <v>2</v>
      </c>
      <c r="B17" s="14" t="str">
        <f>VLOOKUP($L$4&amp;"_"&amp;$A17, Khung_KeHoach_Chuan!$A$11:$J$91, 4, FALSE)</f>
        <v>I. ĐỊNH HƯỚNG &amp; PHƯƠNG PHÁP LUẬN</v>
      </c>
      <c r="C17" s="16" t="str">
        <f>VLOOKUP($L$4&amp;"_"&amp;$A17, Khung_KeHoach_Chuan!$A$11:$J$91, 5, FALSE)</f>
        <v>Khảo sát tài liệu học thuật về SDN/SD-WAN &amp; các mô hình ML liên quan</v>
      </c>
      <c r="D17" s="32" t="str">
        <f>VLOOKUP($L$4&amp;"_"&amp;$A17, Khung_KeHoach_Chuan!$A$11:$J$91, 6, FALSE)</f>
        <v>Tổng hợp bài báo, giải pháp hiện có; phân tích ưu nhược điểm các phương pháp ML trong quản lý mạng</v>
      </c>
      <c r="E17" s="35"/>
      <c r="F17" s="15" t="str">
        <f>VLOOKUP($L$4&amp;"_"&amp;$A17, Khung_KeHoach_Chuan!$A$11:$J$91, 7, FALSE)</f>
        <v>2026-08-24</v>
      </c>
      <c r="G17" s="15" t="str">
        <f>VLOOKUP($L$4&amp;"_"&amp;$A17, Khung_KeHoach_Chuan!$A$11:$J$91, 8, FALSE)</f>
        <v>2026-09-05</v>
      </c>
      <c r="H17" s="14" t="str">
        <f>VLOOKUP($L$4&amp;"_"&amp;$A17, Khung_KeHoach_Chuan!$A$11:$J$91, 9, FALSE)</f>
        <v>Báo cáo tổng quan nghiên cứu (Literature Review v1)</v>
      </c>
      <c r="I17" s="15" t="s">
        <v>518</v>
      </c>
      <c r="J17" s="14"/>
    </row>
    <row r="18" spans="1:10" ht="28.5">
      <c r="A18" s="9">
        <v>3</v>
      </c>
      <c r="B18" s="10" t="str">
        <f>VLOOKUP($L$4&amp;"_"&amp;$A18, Khung_KeHoach_Chuan!$A$11:$J$91, 4, FALSE)</f>
        <v>I. ĐỊNH HƯỚNG &amp; PHƯƠNG PHÁP LUẬN</v>
      </c>
      <c r="C18" s="17" t="str">
        <f>VLOOKUP($L$4&amp;"_"&amp;$A18, Khung_KeHoach_Chuan!$A$11:$J$91, 5, FALSE)</f>
        <v>Đề xuất kiến trúc giải pháp SDN/SD-WAN tích hợp ML</v>
      </c>
      <c r="D18" s="33" t="str">
        <f>VLOOKUP($L$4&amp;"_"&amp;$A18, Khung_KeHoach_Chuan!$A$11:$J$91, 6, FALSE)</f>
        <v>Controller, mô hình ML đề xuất (thuật toán, kiến trúc mạng nơ-ron nếu có), luồng xử lý dữ liệu</v>
      </c>
      <c r="E18" s="35"/>
      <c r="F18" s="11" t="str">
        <f>VLOOKUP($L$4&amp;"_"&amp;$A18, Khung_KeHoach_Chuan!$A$11:$J$91, 7, FALSE)</f>
        <v>2026-09-01</v>
      </c>
      <c r="G18" s="11" t="str">
        <f>VLOOKUP($L$4&amp;"_"&amp;$A18, Khung_KeHoach_Chuan!$A$11:$J$91, 8, FALSE)</f>
        <v>2026-09-08</v>
      </c>
      <c r="H18" s="10" t="str">
        <f>VLOOKUP($L$4&amp;"_"&amp;$A18, Khung_KeHoach_Chuan!$A$11:$J$91, 9, FALSE)</f>
        <v>Sơ đồ kiến trúc giải pháp đề xuất + Lý giải lựa chọn</v>
      </c>
      <c r="I18" s="11" t="s">
        <v>518</v>
      </c>
      <c r="J18" s="10"/>
    </row>
    <row r="19" spans="1:10" ht="28.5">
      <c r="A19" s="13">
        <v>4</v>
      </c>
      <c r="B19" s="14" t="str">
        <f>VLOOKUP($L$4&amp;"_"&amp;$A19, Khung_KeHoach_Chuan!$A$11:$J$91, 4, FALSE)</f>
        <v>I. ĐỊNH HƯỚNG &amp; PHƯƠNG PHÁP LUẬN</v>
      </c>
      <c r="C19" s="16" t="str">
        <f>VLOOKUP($L$4&amp;"_"&amp;$A19, Khung_KeHoach_Chuan!$A$11:$J$91, 5, FALSE)</f>
        <v>Lập kế hoạch WBS 18 tuần, phân công &amp; quản trị rủi ro</v>
      </c>
      <c r="D19" s="32" t="str">
        <f>VLOOKUP($L$4&amp;"_"&amp;$A19, Khung_KeHoach_Chuan!$A$11:$J$91, 6, FALSE)</f>
        <v>Phân rã công việc thu thập dữ liệu mạng, huấn luyện mô hình, tích hợp hệ thống; Git repo, Drive</v>
      </c>
      <c r="E19" s="35"/>
      <c r="F19" s="15" t="str">
        <f>VLOOKUP($L$4&amp;"_"&amp;$A19, Khung_KeHoach_Chuan!$A$11:$J$91, 7, FALSE)</f>
        <v>2026-09-03</v>
      </c>
      <c r="G19" s="15" t="str">
        <f>VLOOKUP($L$4&amp;"_"&amp;$A19, Khung_KeHoach_Chuan!$A$11:$J$91, 8, FALSE)</f>
        <v>2026-09-10</v>
      </c>
      <c r="H19" s="14" t="str">
        <f>VLOOKUP($L$4&amp;"_"&amp;$A19, Khung_KeHoach_Chuan!$A$11:$J$91, 9, FALSE)</f>
        <v>WBS Roadmap 18 tuần + Git repo + Quy chế làm việc</v>
      </c>
      <c r="I19" s="15" t="s">
        <v>518</v>
      </c>
      <c r="J19" s="14"/>
    </row>
    <row r="20" spans="1:10" ht="28.5">
      <c r="A20" s="9">
        <v>5</v>
      </c>
      <c r="B20" s="10" t="str">
        <f>VLOOKUP($L$4&amp;"_"&amp;$A20, Khung_KeHoach_Chuan!$A$11:$J$91, 4, FALSE)</f>
        <v>II. THIẾT KẾ &amp; CHUẨN BỊ</v>
      </c>
      <c r="C20" s="17" t="str">
        <f>VLOOKUP($L$4&amp;"_"&amp;$A20, Khung_KeHoach_Chuan!$A$11:$J$91, 5, FALSE)</f>
        <v>Thiết kế kiến trúc hệ thống, thuật toán ML &amp; cơ sở dữ liệu mạng</v>
      </c>
      <c r="D20" s="33" t="str">
        <f>VLOOKUP($L$4&amp;"_"&amp;$A20, Khung_KeHoach_Chuan!$A$11:$J$91, 6, FALSE)</f>
        <v>Kiến trúc controller-ML engine, thuật toán xử lý, schema lưu trữ flow/traffic data</v>
      </c>
      <c r="E20" s="35"/>
      <c r="F20" s="11" t="str">
        <f>VLOOKUP($L$4&amp;"_"&amp;$A20, Khung_KeHoach_Chuan!$A$11:$J$91, 7, FALSE)</f>
        <v>2026-09-08</v>
      </c>
      <c r="G20" s="11" t="str">
        <f>VLOOKUP($L$4&amp;"_"&amp;$A20, Khung_KeHoach_Chuan!$A$11:$J$91, 8, FALSE)</f>
        <v>2026-09-19</v>
      </c>
      <c r="H20" s="10" t="str">
        <f>VLOOKUP($L$4&amp;"_"&amp;$A20, Khung_KeHoach_Chuan!$A$11:$J$91, 9, FALSE)</f>
        <v>Tài liệu đặc tả thiết kế chi tiết (System Architecture)</v>
      </c>
      <c r="I20" s="11" t="s">
        <v>518</v>
      </c>
      <c r="J20" s="10"/>
    </row>
    <row r="21" spans="1:10" ht="28.5">
      <c r="A21" s="13">
        <v>6</v>
      </c>
      <c r="B21" s="14" t="str">
        <f>VLOOKUP($L$4&amp;"_"&amp;$A21, Khung_KeHoach_Chuan!$A$11:$J$91, 4, FALSE)</f>
        <v>II. THIẾT KẾ &amp; CHUẨN BỊ</v>
      </c>
      <c r="C21" s="16" t="str">
        <f>VLOOKUP($L$4&amp;"_"&amp;$A21, Khung_KeHoach_Chuan!$A$11:$J$91, 5, FALSE)</f>
        <v>Chuẩn bị hạ tầng thử nghiệm SDN/SD-WAN, dataset &amp; công cụ</v>
      </c>
      <c r="D21" s="32" t="str">
        <f>VLOOKUP($L$4&amp;"_"&amp;$A21, Khung_KeHoach_Chuan!$A$11:$J$91, 6, FALSE)</f>
        <v>Testbed (Mininet/Containerlab/GNS3), thu thập/tìm dataset traffic chuẩn, cài đặt công cụ ML</v>
      </c>
      <c r="E21" s="35"/>
      <c r="F21" s="15" t="str">
        <f>VLOOKUP($L$4&amp;"_"&amp;$A21, Khung_KeHoach_Chuan!$A$11:$J$91, 7, FALSE)</f>
        <v>2026-09-11</v>
      </c>
      <c r="G21" s="15" t="str">
        <f>VLOOKUP($L$4&amp;"_"&amp;$A21, Khung_KeHoach_Chuan!$A$11:$J$91, 8, FALSE)</f>
        <v>2026-09-19</v>
      </c>
      <c r="H21" s="14" t="str">
        <f>VLOOKUP($L$4&amp;"_"&amp;$A21, Khung_KeHoach_Chuan!$A$11:$J$91, 9, FALSE)</f>
        <v>Môi trường thực nghiệm chuẩn hóa + Bộ công cụ thử nghiệm</v>
      </c>
      <c r="I21" s="15" t="s">
        <v>518</v>
      </c>
      <c r="J21" s="14"/>
    </row>
    <row r="22" spans="1:10" ht="28.5">
      <c r="A22" s="9">
        <v>7</v>
      </c>
      <c r="B22" s="10" t="str">
        <f>VLOOKUP($L$4&amp;"_"&amp;$A22, Khung_KeHoach_Chuan!$A$11:$J$91, 4, FALSE)</f>
        <v>II. THIẾT KẾ &amp; CHUẨN BỊ</v>
      </c>
      <c r="C22" s="17" t="str">
        <f>VLOOKUP($L$4&amp;"_"&amp;$A22, Khung_KeHoach_Chuan!$A$11:$J$91, 5, FALSE)</f>
        <v>Xây dựng kịch bản thực nghiệm &amp; Baseline đánh giá</v>
      </c>
      <c r="D22" s="33" t="str">
        <f>VLOOKUP($L$4&amp;"_"&amp;$A22, Khung_KeHoach_Chuan!$A$11:$J$91, 6, FALSE)</f>
        <v>Kịch bản mô phỏng lưu lượng/tấn công, đối tượng baseline so sánh, độ đo đánh giá</v>
      </c>
      <c r="E22" s="35"/>
      <c r="F22" s="11" t="str">
        <f>VLOOKUP($L$4&amp;"_"&amp;$A22, Khung_KeHoach_Chuan!$A$11:$J$91, 7, FALSE)</f>
        <v>2026-09-15</v>
      </c>
      <c r="G22" s="11" t="str">
        <f>VLOOKUP($L$4&amp;"_"&amp;$A22, Khung_KeHoach_Chuan!$A$11:$J$91, 8, FALSE)</f>
        <v>2026-09-22</v>
      </c>
      <c r="H22" s="10" t="str">
        <f>VLOOKUP($L$4&amp;"_"&amp;$A22, Khung_KeHoach_Chuan!$A$11:$J$91, 9, FALSE)</f>
        <v>Kịch bản thực nghiệm chi tiết + Danh mục Benchmark</v>
      </c>
      <c r="I22" s="11" t="s">
        <v>518</v>
      </c>
      <c r="J22" s="10"/>
    </row>
    <row r="23" spans="1:10" ht="28.5">
      <c r="A23" s="13">
        <v>8</v>
      </c>
      <c r="B23" s="14" t="str">
        <f>VLOOKUP($L$4&amp;"_"&amp;$A23, Khung_KeHoach_Chuan!$A$11:$J$91, 4, FALSE)</f>
        <v>II. THIẾT KẾ &amp; CHUẨN BỊ</v>
      </c>
      <c r="C23" s="16" t="str">
        <f>VLOOKUP($L$4&amp;"_"&amp;$A23, Khung_KeHoach_Chuan!$A$11:$J$91, 5, FALSE)</f>
        <v>Thực hiện PoC kiểm chứng tính khả thi của giải pháp đề xuất</v>
      </c>
      <c r="D23" s="32" t="str">
        <f>VLOOKUP($L$4&amp;"_"&amp;$A23, Khung_KeHoach_Chuan!$A$11:$J$91, 6, FALSE)</f>
        <v>Chạy thử giải pháp trên topology thu gọn để chứng minh khả năng triển khai thực tế</v>
      </c>
      <c r="E23" s="35"/>
      <c r="F23" s="15" t="str">
        <f>VLOOKUP($L$4&amp;"_"&amp;$A23, Khung_KeHoach_Chuan!$A$11:$J$91, 7, FALSE)</f>
        <v>2026-09-16</v>
      </c>
      <c r="G23" s="15" t="str">
        <f>VLOOKUP($L$4&amp;"_"&amp;$A23, Khung_KeHoach_Chuan!$A$11:$J$91, 8, FALSE)</f>
        <v>2026-09-24</v>
      </c>
      <c r="H23" s="14" t="str">
        <f>VLOOKUP($L$4&amp;"_"&amp;$A23, Khung_KeHoach_Chuan!$A$11:$J$91, 9, FALSE)</f>
        <v>Báo cáo thực nghiệm PoC + Đánh giá tính khả thi</v>
      </c>
      <c r="I23" s="15" t="s">
        <v>518</v>
      </c>
      <c r="J23" s="14"/>
    </row>
    <row r="24" spans="1:10" ht="28.5">
      <c r="A24" s="9">
        <v>9</v>
      </c>
      <c r="B24" s="10" t="str">
        <f>VLOOKUP($L$4&amp;"_"&amp;$A24, Khung_KeHoach_Chuan!$A$11:$J$91, 4, FALSE)</f>
        <v>III. TRIỂN KHAI / THỰC NGHIỆM</v>
      </c>
      <c r="C24" s="17" t="str">
        <f>VLOOKUP($L$4&amp;"_"&amp;$A24, Khung_KeHoach_Chuan!$A$11:$J$91, 5, FALSE)</f>
        <v>Xây dựng Prototype/MVP: hệ thống SDN/SD-WAN vận hành ổn định</v>
      </c>
      <c r="D24" s="33" t="str">
        <f>VLOOKUP($L$4&amp;"_"&amp;$A24, Khung_KeHoach_Chuan!$A$11:$J$91, 6, FALSE)</f>
        <v>Hoàn thiện module trung tâm (controller + orchestrator), luồng dữ liệu thông suốt đầu-cuối</v>
      </c>
      <c r="E24" s="35"/>
      <c r="F24" s="11" t="str">
        <f>VLOOKUP($L$4&amp;"_"&amp;$A24, Khung_KeHoach_Chuan!$A$11:$J$91, 7, FALSE)</f>
        <v>2026-09-20</v>
      </c>
      <c r="G24" s="11" t="str">
        <f>VLOOKUP($L$4&amp;"_"&amp;$A24, Khung_KeHoach_Chuan!$A$11:$J$91, 8, FALSE)</f>
        <v>2026-09-30</v>
      </c>
      <c r="H24" s="10" t="str">
        <f>VLOOKUP($L$4&amp;"_"&amp;$A24, Khung_KeHoach_Chuan!$A$11:$J$91, 9, FALSE)</f>
        <v>Prototype/MVP hoạt động ổn định trên tập test</v>
      </c>
      <c r="I24" s="11" t="s">
        <v>518</v>
      </c>
      <c r="J24" s="10"/>
    </row>
    <row r="25" spans="1:10" ht="28.5">
      <c r="A25" s="19">
        <v>10</v>
      </c>
      <c r="B25" s="21" t="str">
        <f>VLOOKUP($L$4&amp;"_"&amp;$A25, Khung_KeHoach_Chuan!$A$11:$J$91, 4, FALSE)</f>
        <v>III. TRIỂN KHAI / THỰC NGHIỆM</v>
      </c>
      <c r="C25" s="31" t="str">
        <f>VLOOKUP($L$4&amp;"_"&amp;$A25, Khung_KeHoach_Chuan!$A$11:$J$91, 5, FALSE)</f>
        <v>NỘP BÁO CÁO TIẾN ĐỘ GIỮA KỲ (MỐC KHOA)</v>
      </c>
      <c r="D25" s="34" t="str">
        <f>VLOOKUP($L$4&amp;"_"&amp;$A25, Khung_KeHoach_Chuan!$A$11:$J$91, 6, FALSE)</f>
        <v>Tổng hợp tiến độ, nộp phiếu theo dõi có chữ ký GVHD</v>
      </c>
      <c r="E25" s="35"/>
      <c r="F25" s="20" t="str">
        <f>VLOOKUP($L$4&amp;"_"&amp;$A25, Khung_KeHoach_Chuan!$A$11:$J$91, 7, FALSE)</f>
        <v>2026-09-20</v>
      </c>
      <c r="G25" s="20" t="str">
        <f>VLOOKUP($L$4&amp;"_"&amp;$A25, Khung_KeHoach_Chuan!$A$11:$J$91, 8, FALSE)</f>
        <v>2026-10-04</v>
      </c>
      <c r="H25" s="21" t="str">
        <f>VLOOKUP($L$4&amp;"_"&amp;$A25, Khung_KeHoach_Chuan!$A$11:$J$91, 9, FALSE)</f>
        <v>Phiếu theo dõi có chữ ký GVHD + Báo cáo giữa kỳ ELIT</v>
      </c>
      <c r="I25" s="20" t="s">
        <v>518</v>
      </c>
      <c r="J25" s="21"/>
    </row>
    <row r="26" spans="1:10" ht="28.5">
      <c r="A26" s="9">
        <v>11</v>
      </c>
      <c r="B26" s="10" t="str">
        <f>VLOOKUP($L$4&amp;"_"&amp;$A26, Khung_KeHoach_Chuan!$A$11:$J$91, 4, FALSE)</f>
        <v>III. TRIỂN KHAI / THỰC NGHIỆM</v>
      </c>
      <c r="C26" s="17" t="str">
        <f>VLOOKUP($L$4&amp;"_"&amp;$A26, Khung_KeHoach_Chuan!$A$11:$J$91, 5, FALSE)</f>
        <v>Hoàn thiện toàn bộ module hệ thống &amp; chính sách điều khiển</v>
      </c>
      <c r="D26" s="33" t="str">
        <f>VLOOKUP($L$4&amp;"_"&amp;$A26, Khung_KeHoach_Chuan!$A$11:$J$91, 6, FALSE)</f>
        <v>Mở rộng tính năng, module giám sát mạng, chính sách tự động hóa cấu hình nếu có</v>
      </c>
      <c r="E26" s="35"/>
      <c r="F26" s="11" t="str">
        <f>VLOOKUP($L$4&amp;"_"&amp;$A26, Khung_KeHoach_Chuan!$A$11:$J$91, 7, FALSE)</f>
        <v>2026-10-05</v>
      </c>
      <c r="G26" s="11" t="str">
        <f>VLOOKUP($L$4&amp;"_"&amp;$A26, Khung_KeHoach_Chuan!$A$11:$J$91, 8, FALSE)</f>
        <v>2026-10-25</v>
      </c>
      <c r="H26" s="10" t="str">
        <f>VLOOKUP($L$4&amp;"_"&amp;$A26, Khung_KeHoach_Chuan!$A$11:$J$91, 9, FALSE)</f>
        <v>Hệ thống hoàn chỉnh tất cả các module</v>
      </c>
      <c r="I26" s="11" t="s">
        <v>518</v>
      </c>
      <c r="J26" s="10"/>
    </row>
    <row r="27" spans="1:10" ht="28.5">
      <c r="A27" s="13">
        <v>12</v>
      </c>
      <c r="B27" s="14" t="str">
        <f>VLOOKUP($L$4&amp;"_"&amp;$A27, Khung_KeHoach_Chuan!$A$11:$J$91, 4, FALSE)</f>
        <v>III. TRIỂN KHAI / THỰC NGHIỆM</v>
      </c>
      <c r="C27" s="16" t="str">
        <f>VLOOKUP($L$4&amp;"_"&amp;$A27, Khung_KeHoach_Chuan!$A$11:$J$91, 5, FALSE)</f>
        <v>Tích hợp toàn diện hệ thống, kiểm thử liên kết &amp; tối ưu hóa</v>
      </c>
      <c r="D27" s="32" t="str">
        <f>VLOOKUP($L$4&amp;"_"&amp;$A27, Khung_KeHoach_Chuan!$A$11:$J$91, 6, FALSE)</f>
        <v>Kết nối các thành phần, tối ưu thời gian xử lý, cải thiện độ ổn định hệ thống</v>
      </c>
      <c r="E27" s="35"/>
      <c r="F27" s="15" t="str">
        <f>VLOOKUP($L$4&amp;"_"&amp;$A27, Khung_KeHoach_Chuan!$A$11:$J$91, 7, FALSE)</f>
        <v>2026-10-26</v>
      </c>
      <c r="G27" s="15" t="str">
        <f>VLOOKUP($L$4&amp;"_"&amp;$A27, Khung_KeHoach_Chuan!$A$11:$J$91, 8, FALSE)</f>
        <v>2026-11-08</v>
      </c>
      <c r="H27" s="14" t="str">
        <f>VLOOKUP($L$4&amp;"_"&amp;$A27, Khung_KeHoach_Chuan!$A$11:$J$91, 9, FALSE)</f>
        <v>Bản Release ứng cử viên (Release Candidate)</v>
      </c>
      <c r="I27" s="15" t="s">
        <v>518</v>
      </c>
      <c r="J27" s="14"/>
    </row>
    <row r="28" spans="1:10" ht="28.5">
      <c r="A28" s="9">
        <v>13</v>
      </c>
      <c r="B28" s="10" t="str">
        <f>VLOOKUP($L$4&amp;"_"&amp;$A28, Khung_KeHoach_Chuan!$A$11:$J$91, 4, FALSE)</f>
        <v>III. TRIỂN KHAI / THỰC NGHIỆM</v>
      </c>
      <c r="C28" s="17" t="str">
        <f>VLOOKUP($L$4&amp;"_"&amp;$A28, Khung_KeHoach_Chuan!$A$11:$J$91, 5, FALSE)</f>
        <v>Lưu trữ nhật ký thực nghiệm, Logs, Raw Data &amp; Evidence</v>
      </c>
      <c r="D28" s="33" t="str">
        <f>VLOOKUP($L$4&amp;"_"&amp;$A28, Khung_KeHoach_Chuan!$A$11:$J$91, 6, FALSE)</f>
        <v>Log cấu hình controller, thay đổi chính sách định tuyến để đối chiếu kết quả</v>
      </c>
      <c r="E28" s="35"/>
      <c r="F28" s="11" t="str">
        <f>VLOOKUP($L$4&amp;"_"&amp;$A28, Khung_KeHoach_Chuan!$A$11:$J$91, 7, FALSE)</f>
        <v>2026-09-20</v>
      </c>
      <c r="G28" s="11" t="str">
        <f>VLOOKUP($L$4&amp;"_"&amp;$A28, Khung_KeHoach_Chuan!$A$11:$J$91, 8, FALSE)</f>
        <v>2026-11-15</v>
      </c>
      <c r="H28" s="10" t="str">
        <f>VLOOKUP($L$4&amp;"_"&amp;$A28, Khung_KeHoach_Chuan!$A$11:$J$91, 9, FALSE)</f>
        <v>Repository thực nghiệm + Thư mục Raw Data/Logs</v>
      </c>
      <c r="I28" s="11" t="s">
        <v>518</v>
      </c>
      <c r="J28" s="10"/>
    </row>
    <row r="29" spans="1:10" ht="28.5">
      <c r="A29" s="13">
        <v>14</v>
      </c>
      <c r="B29" s="14" t="str">
        <f>VLOOKUP($L$4&amp;"_"&amp;$A29, Khung_KeHoach_Chuan!$A$11:$J$91, 4, FALSE)</f>
        <v>IV. KIỂM THỬ &amp; ĐÁNH GIÁ</v>
      </c>
      <c r="C29" s="16" t="str">
        <f>VLOOKUP($L$4&amp;"_"&amp;$A29, Khung_KeHoach_Chuan!$A$11:$J$91, 5, FALSE)</f>
        <v>Chạy thực nghiệm chính thức trên toàn bộ tập dữ liệu/topology</v>
      </c>
      <c r="D29" s="32" t="str">
        <f>VLOOKUP($L$4&amp;"_"&amp;$A29, Khung_KeHoach_Chuan!$A$11:$J$91, 6, FALSE)</f>
        <v>Đo đạc chính thức theo kịch bản đã thiết lập; lặp lại nhiều lần đảm bảo khách quan</v>
      </c>
      <c r="E29" s="35"/>
      <c r="F29" s="15" t="str">
        <f>VLOOKUP($L$4&amp;"_"&amp;$A29, Khung_KeHoach_Chuan!$A$11:$J$91, 7, FALSE)</f>
        <v>2026-11-09</v>
      </c>
      <c r="G29" s="15" t="str">
        <f>VLOOKUP($L$4&amp;"_"&amp;$A29, Khung_KeHoach_Chuan!$A$11:$J$91, 8, FALSE)</f>
        <v>2026-11-20</v>
      </c>
      <c r="H29" s="14" t="str">
        <f>VLOOKUP($L$4&amp;"_"&amp;$A29, Khung_KeHoach_Chuan!$A$11:$J$91, 9, FALSE)</f>
        <v>Bảng dữ liệu kết quả thực nghiệm thô (Raw Results)</v>
      </c>
      <c r="I29" s="15" t="s">
        <v>518</v>
      </c>
      <c r="J29" s="14"/>
    </row>
    <row r="30" spans="1:10" ht="28.5">
      <c r="A30" s="9">
        <v>15</v>
      </c>
      <c r="B30" s="10" t="str">
        <f>VLOOKUP($L$4&amp;"_"&amp;$A30, Khung_KeHoach_Chuan!$A$11:$J$91, 4, FALSE)</f>
        <v>IV. KIỂM THỬ &amp; ĐÁNH GIÁ</v>
      </c>
      <c r="C30" s="17" t="str">
        <f>VLOOKUP($L$4&amp;"_"&amp;$A30, Khung_KeHoach_Chuan!$A$11:$J$91, 5, FALSE)</f>
        <v>Xử lý, làm sạch &amp; chuẩn hóa dữ liệu kết quả thực nghiệm</v>
      </c>
      <c r="D30" s="33" t="str">
        <f>VLOOKUP($L$4&amp;"_"&amp;$A30, Khung_KeHoach_Chuan!$A$11:$J$91, 6, FALSE)</f>
        <v>Phân tích thống kê, loại trừ ngoại lai có giải trình, tính giá trị trung bình/độ lệch chuẩn</v>
      </c>
      <c r="E30" s="35"/>
      <c r="F30" s="11" t="str">
        <f>VLOOKUP($L$4&amp;"_"&amp;$A30, Khung_KeHoach_Chuan!$A$11:$J$91, 7, FALSE)</f>
        <v>2026-11-16</v>
      </c>
      <c r="G30" s="11" t="str">
        <f>VLOOKUP($L$4&amp;"_"&amp;$A30, Khung_KeHoach_Chuan!$A$11:$J$91, 8, FALSE)</f>
        <v>2026-11-25</v>
      </c>
      <c r="H30" s="10" t="str">
        <f>VLOOKUP($L$4&amp;"_"&amp;$A30, Khung_KeHoach_Chuan!$A$11:$J$91, 9, FALSE)</f>
        <v>Dataset kết quả đã được làm sạch và xử lý</v>
      </c>
      <c r="I30" s="11" t="s">
        <v>518</v>
      </c>
      <c r="J30" s="10"/>
    </row>
    <row r="31" spans="1:10" ht="28.5">
      <c r="A31" s="13">
        <v>16</v>
      </c>
      <c r="B31" s="14" t="str">
        <f>VLOOKUP($L$4&amp;"_"&amp;$A31, Khung_KeHoach_Chuan!$A$11:$J$91, 4, FALSE)</f>
        <v>IV. KIỂM THỬ &amp; ĐÁNH GIÁ</v>
      </c>
      <c r="C31" s="16" t="str">
        <f>VLOOKUP($L$4&amp;"_"&amp;$A31, Khung_KeHoach_Chuan!$A$11:$J$91, 5, FALSE)</f>
        <v>Phân tích kết quả, so sánh Baseline &amp; trực quan hóa</v>
      </c>
      <c r="D31" s="32" t="str">
        <f>VLOOKUP($L$4&amp;"_"&amp;$A31, Khung_KeHoach_Chuan!$A$11:$J$91, 6, FALSE)</f>
        <v>Vẽ biểu đồ so sánh mô hình đề xuất với baseline, phân tích trường hợp thành công/thất bại</v>
      </c>
      <c r="E31" s="35"/>
      <c r="F31" s="15" t="str">
        <f>VLOOKUP($L$4&amp;"_"&amp;$A31, Khung_KeHoach_Chuan!$A$11:$J$91, 7, FALSE)</f>
        <v>2026-11-21</v>
      </c>
      <c r="G31" s="15" t="str">
        <f>VLOOKUP($L$4&amp;"_"&amp;$A31, Khung_KeHoach_Chuan!$A$11:$J$91, 8, FALSE)</f>
        <v>2026-11-30</v>
      </c>
      <c r="H31" s="14" t="str">
        <f>VLOOKUP($L$4&amp;"_"&amp;$A31, Khung_KeHoach_Chuan!$A$11:$J$91, 9, FALSE)</f>
        <v>Bộ biểu đồ chuyên nghiệp + Bảng phân tích chuyên sâu</v>
      </c>
      <c r="I31" s="15" t="s">
        <v>518</v>
      </c>
      <c r="J31" s="14"/>
    </row>
    <row r="32" spans="1:10" ht="28.5">
      <c r="A32" s="9">
        <v>17</v>
      </c>
      <c r="B32" s="10" t="str">
        <f>VLOOKUP($L$4&amp;"_"&amp;$A32, Khung_KeHoach_Chuan!$A$11:$J$91, 4, FALSE)</f>
        <v>IV. KIỂM THỬ &amp; ĐÁNH GIÁ</v>
      </c>
      <c r="C32" s="17" t="str">
        <f>VLOOKUP($L$4&amp;"_"&amp;$A32, Khung_KeHoach_Chuan!$A$11:$J$91, 5, FALSE)</f>
        <v>Đối chiếu mục tiêu ban đầu, đóng góp &amp; chỉ ra hạn chế</v>
      </c>
      <c r="D32" s="33" t="str">
        <f>VLOOKUP($L$4&amp;"_"&amp;$A32, Khung_KeHoach_Chuan!$A$11:$J$91, 6, FALSE)</f>
        <v>Đánh giá mức độ hoàn thành so với cam kết ban đầu; nêu điểm mới và hạn chế</v>
      </c>
      <c r="E32" s="35"/>
      <c r="F32" s="11" t="str">
        <f>VLOOKUP($L$4&amp;"_"&amp;$A32, Khung_KeHoach_Chuan!$A$11:$J$91, 7, FALSE)</f>
        <v>2026-11-26</v>
      </c>
      <c r="G32" s="11" t="str">
        <f>VLOOKUP($L$4&amp;"_"&amp;$A32, Khung_KeHoach_Chuan!$A$11:$J$91, 8, FALSE)</f>
        <v>2026-12-05</v>
      </c>
      <c r="H32" s="10" t="str">
        <f>VLOOKUP($L$4&amp;"_"&amp;$A32, Khung_KeHoach_Chuan!$A$11:$J$91, 9, FALSE)</f>
        <v>Bảng tổng hợp đối chiếu Mục tiêu - Kết quả đạt được</v>
      </c>
      <c r="I32" s="11" t="s">
        <v>518</v>
      </c>
      <c r="J32" s="10"/>
    </row>
    <row r="33" spans="1:10" ht="28.5">
      <c r="A33" s="13">
        <v>18</v>
      </c>
      <c r="B33" s="14" t="str">
        <f>VLOOKUP($L$4&amp;"_"&amp;$A33, Khung_KeHoach_Chuan!$A$11:$J$91, 4, FALSE)</f>
        <v>V. VIẾT &amp; HOÀN THIỆN BÁO CÁO</v>
      </c>
      <c r="C33" s="16" t="str">
        <f>VLOOKUP($L$4&amp;"_"&amp;$A33, Khung_KeHoach_Chuan!$A$11:$J$91, 5, FALSE)</f>
        <v>Xây dựng khung báo cáo &amp; hoàn thành Chương 1, 2, 3</v>
      </c>
      <c r="D33" s="32" t="str">
        <f>VLOOKUP($L$4&amp;"_"&amp;$A33, Khung_KeHoach_Chuan!$A$11:$J$91, 6, FALSE)</f>
        <v>Mở đầu, Cơ sở lý thuyết SDN/SD-WAN, Thiết kế hệ thống theo chuẩn ĐATN TDTU</v>
      </c>
      <c r="E33" s="35"/>
      <c r="F33" s="15" t="str">
        <f>VLOOKUP($L$4&amp;"_"&amp;$A33, Khung_KeHoach_Chuan!$A$11:$J$91, 7, FALSE)</f>
        <v>2026-11-01</v>
      </c>
      <c r="G33" s="15" t="str">
        <f>VLOOKUP($L$4&amp;"_"&amp;$A33, Khung_KeHoach_Chuan!$A$11:$J$91, 8, FALSE)</f>
        <v>2026-11-20</v>
      </c>
      <c r="H33" s="14" t="str">
        <f>VLOOKUP($L$4&amp;"_"&amp;$A33, Khung_KeHoach_Chuan!$A$11:$J$91, 9, FALSE)</f>
        <v>Bản thảo Chương 1, 2, 3 chuẩn quy cách ĐATN TDTU</v>
      </c>
      <c r="I33" s="15" t="s">
        <v>518</v>
      </c>
      <c r="J33" s="14"/>
    </row>
    <row r="34" spans="1:10" ht="28.5">
      <c r="A34" s="9">
        <v>19</v>
      </c>
      <c r="B34" s="10" t="str">
        <f>VLOOKUP($L$4&amp;"_"&amp;$A34, Khung_KeHoach_Chuan!$A$11:$J$91, 4, FALSE)</f>
        <v>V. VIẾT &amp; HOÀN THIỆN BÁO CÁO</v>
      </c>
      <c r="C34" s="17" t="str">
        <f>VLOOKUP($L$4&amp;"_"&amp;$A34, Khung_KeHoach_Chuan!$A$11:$J$91, 5, FALSE)</f>
        <v>Viết Chương Triển khai, Thực nghiệm &amp; Đánh giá (Chương 4, 5)</v>
      </c>
      <c r="D34" s="33" t="str">
        <f>VLOOKUP($L$4&amp;"_"&amp;$A34, Khung_KeHoach_Chuan!$A$11:$J$91, 6, FALSE)</f>
        <v>Môi trường thực nghiệm, kết quả triển khai/kiểm thử, thảo luận kết quả</v>
      </c>
      <c r="E34" s="35"/>
      <c r="F34" s="11" t="str">
        <f>VLOOKUP($L$4&amp;"_"&amp;$A34, Khung_KeHoach_Chuan!$A$11:$J$91, 7, FALSE)</f>
        <v>2026-11-21</v>
      </c>
      <c r="G34" s="11" t="str">
        <f>VLOOKUP($L$4&amp;"_"&amp;$A34, Khung_KeHoach_Chuan!$A$11:$J$91, 8, FALSE)</f>
        <v>2026-12-05</v>
      </c>
      <c r="H34" s="10" t="str">
        <f>VLOOKUP($L$4&amp;"_"&amp;$A34, Khung_KeHoach_Chuan!$A$11:$J$91, 9, FALSE)</f>
        <v>Bản thảo Chương 4, 5 chi tiết</v>
      </c>
      <c r="I34" s="11" t="s">
        <v>518</v>
      </c>
      <c r="J34" s="10"/>
    </row>
    <row r="35" spans="1:10" ht="28.5">
      <c r="A35" s="13">
        <v>20</v>
      </c>
      <c r="B35" s="14" t="str">
        <f>VLOOKUP($L$4&amp;"_"&amp;$A35, Khung_KeHoach_Chuan!$A$11:$J$91, 4, FALSE)</f>
        <v>V. VIẾT &amp; HOÀN THIỆN BÁO CÁO</v>
      </c>
      <c r="C35" s="16" t="str">
        <f>VLOOKUP($L$4&amp;"_"&amp;$A35, Khung_KeHoach_Chuan!$A$11:$J$91, 5, FALSE)</f>
        <v>Viết Kết luận, Tóm tắt, Tài liệu tham khảo &amp; Phụ lục</v>
      </c>
      <c r="D35" s="32" t="str">
        <f>VLOOKUP($L$4&amp;"_"&amp;$A35, Khung_KeHoach_Chuan!$A$11:$J$91, 6, FALSE)</f>
        <v>Kết luận &amp; Hướng phát triển, chuẩn hóa tài liệu tham khảo theo IEEE</v>
      </c>
      <c r="E35" s="35"/>
      <c r="F35" s="15" t="str">
        <f>VLOOKUP($L$4&amp;"_"&amp;$A35, Khung_KeHoach_Chuan!$A$11:$J$91, 7, FALSE)</f>
        <v>2026-12-01</v>
      </c>
      <c r="G35" s="15" t="str">
        <f>VLOOKUP($L$4&amp;"_"&amp;$A35, Khung_KeHoach_Chuan!$A$11:$J$91, 8, FALSE)</f>
        <v>2026-12-08</v>
      </c>
      <c r="H35" s="14" t="str">
        <f>VLOOKUP($L$4&amp;"_"&amp;$A35, Khung_KeHoach_Chuan!$A$11:$J$91, 9, FALSE)</f>
        <v>Bản thảo toàn văn 100% (Full Draft v1)</v>
      </c>
      <c r="I35" s="15" t="s">
        <v>518</v>
      </c>
      <c r="J35" s="14"/>
    </row>
    <row r="36" spans="1:10" ht="28.5">
      <c r="A36" s="9">
        <v>21</v>
      </c>
      <c r="B36" s="10" t="str">
        <f>VLOOKUP($L$4&amp;"_"&amp;$A36, Khung_KeHoach_Chuan!$A$11:$J$91, 4, FALSE)</f>
        <v>V. VIẾT &amp; HOÀN THIỆN BÁO CÁO</v>
      </c>
      <c r="C36" s="17" t="str">
        <f>VLOOKUP($L$4&amp;"_"&amp;$A36, Khung_KeHoach_Chuan!$A$11:$J$91, 5, FALSE)</f>
        <v>Review chéo, xin ý kiến GVHD &amp; hiệu chỉnh</v>
      </c>
      <c r="D36" s="33" t="str">
        <f>VLOOKUP($L$4&amp;"_"&amp;$A36, Khung_KeHoach_Chuan!$A$11:$J$91, 6, FALSE)</f>
        <v>Gửi bản thảo cho GVHD phản biện; tiếp thu chỉnh sửa cấu trúc, thuật ngữ kỹ thuật</v>
      </c>
      <c r="E36" s="35"/>
      <c r="F36" s="11" t="str">
        <f>VLOOKUP($L$4&amp;"_"&amp;$A36, Khung_KeHoach_Chuan!$A$11:$J$91, 7, FALSE)</f>
        <v>2026-12-06</v>
      </c>
      <c r="G36" s="11" t="str">
        <f>VLOOKUP($L$4&amp;"_"&amp;$A36, Khung_KeHoach_Chuan!$A$11:$J$91, 8, FALSE)</f>
        <v>2026-12-10</v>
      </c>
      <c r="H36" s="10" t="str">
        <f>VLOOKUP($L$4&amp;"_"&amp;$A36, Khung_KeHoach_Chuan!$A$11:$J$91, 9, FALSE)</f>
        <v>Bản thảo đã được GVHD góp ý và chỉnh sửa</v>
      </c>
      <c r="I36" s="11" t="s">
        <v>518</v>
      </c>
      <c r="J36" s="10"/>
    </row>
    <row r="37" spans="1:10" ht="28.5">
      <c r="A37" s="19">
        <v>22</v>
      </c>
      <c r="B37" s="21" t="str">
        <f>VLOOKUP($L$4&amp;"_"&amp;$A37, Khung_KeHoach_Chuan!$A$11:$J$91, 4, FALSE)</f>
        <v>V. VIẾT &amp; HOÀN THIỆN BÁO CÁO</v>
      </c>
      <c r="C37" s="31" t="str">
        <f>VLOOKUP($L$4&amp;"_"&amp;$A37, Khung_KeHoach_Chuan!$A$11:$J$91, 5, FALSE)</f>
        <v>CHỐT BÁO CÁO SẠCH ĐATN (FINAL REPORT)</v>
      </c>
      <c r="D37" s="34" t="str">
        <f>VLOOKUP($L$4&amp;"_"&amp;$A37, Khung_KeHoach_Chuan!$A$11:$J$91, 6, FALSE)</f>
        <v>Hoàn tất 100% nội dung, chính tả, định dạng chuẩn TDTU, xuất PDF báo cáo sạch</v>
      </c>
      <c r="E37" s="35"/>
      <c r="F37" s="20" t="str">
        <f>VLOOKUP($L$4&amp;"_"&amp;$A37, Khung_KeHoach_Chuan!$A$11:$J$91, 7, FALSE)</f>
        <v>2026-12-10</v>
      </c>
      <c r="G37" s="20" t="str">
        <f>VLOOKUP($L$4&amp;"_"&amp;$A37, Khung_KeHoach_Chuan!$A$11:$J$91, 8, FALSE)</f>
        <v>2026-12-10</v>
      </c>
      <c r="H37" s="21" t="str">
        <f>VLOOKUP($L$4&amp;"_"&amp;$A37, Khung_KeHoach_Chuan!$A$11:$J$91, 9, FALSE)</f>
        <v>BÁO CÁO SẠCH HOÀN TẤT (Trước deadline 1 tuần)</v>
      </c>
      <c r="I37" s="20" t="s">
        <v>518</v>
      </c>
      <c r="J37" s="21"/>
    </row>
    <row r="38" spans="1:10" ht="28.5">
      <c r="A38" s="19">
        <v>23</v>
      </c>
      <c r="B38" s="21" t="str">
        <f>VLOOKUP($L$4&amp;"_"&amp;$A38, Khung_KeHoach_Chuan!$A$11:$J$91, 4, FALSE)</f>
        <v>VI. ĐÓNG GÓI, PHẢN BIỆN, BẢO VỆ &amp; NỘP ELIT</v>
      </c>
      <c r="C38" s="31" t="str">
        <f>VLOOKUP($L$4&amp;"_"&amp;$A38, Khung_KeHoach_Chuan!$A$11:$J$91, 5, FALSE)</f>
        <v>NỘP BÁO CÁO CUỐI KỲ (TURNITIN + ELIT)</v>
      </c>
      <c r="D38" s="34" t="str">
        <f>VLOOKUP($L$4&amp;"_"&amp;$A38, Khung_KeHoach_Chuan!$A$11:$J$91, 6, FALSE)</f>
        <v>Nộp file lên Turnitin (kiểm tra đạo văn) và hệ thống ELIT theo thông báo Khoa</v>
      </c>
      <c r="E38" s="35"/>
      <c r="F38" s="20" t="str">
        <f>VLOOKUP($L$4&amp;"_"&amp;$A38, Khung_KeHoach_Chuan!$A$11:$J$91, 7, FALSE)</f>
        <v>2026-12-17</v>
      </c>
      <c r="G38" s="20" t="str">
        <f>VLOOKUP($L$4&amp;"_"&amp;$A38, Khung_KeHoach_Chuan!$A$11:$J$91, 8, FALSE)</f>
        <v>2026-12-27</v>
      </c>
      <c r="H38" s="21" t="str">
        <f>VLOOKUP($L$4&amp;"_"&amp;$A38, Khung_KeHoach_Chuan!$A$11:$J$91, 9, FALSE)</f>
        <v>Xác nhận nộp báo cáo cuối kỳ thành công trên ELIT</v>
      </c>
      <c r="I38" s="20" t="s">
        <v>518</v>
      </c>
      <c r="J38" s="21"/>
    </row>
    <row r="39" spans="1:10" ht="28.5">
      <c r="A39" s="13">
        <v>24</v>
      </c>
      <c r="B39" s="14" t="str">
        <f>VLOOKUP($L$4&amp;"_"&amp;$A39, Khung_KeHoach_Chuan!$A$11:$J$91, 4, FALSE)</f>
        <v>VI. ĐÓNG GÓI, PHẢN BIỆN, BẢO VỆ &amp; NỘP ELIT</v>
      </c>
      <c r="C39" s="16" t="str">
        <f>VLOOKUP($L$4&amp;"_"&amp;$A39, Khung_KeHoach_Chuan!$A$11:$J$91, 5, FALSE)</f>
        <v>GVHD duyệt xác nhận cho SV ra Hội đồng phản biện</v>
      </c>
      <c r="D39" s="32" t="str">
        <f>VLOOKUP($L$4&amp;"_"&amp;$A39, Khung_KeHoach_Chuan!$A$11:$J$91, 6, FALSE)</f>
        <v>ThS. Lê Viết Thanh xác nhận đủ điều kiện ra Hội đồng trên hệ thống</v>
      </c>
      <c r="E39" s="35"/>
      <c r="F39" s="15" t="str">
        <f>VLOOKUP($L$4&amp;"_"&amp;$A39, Khung_KeHoach_Chuan!$A$11:$J$91, 7, FALSE)</f>
        <v>2026-12-22</v>
      </c>
      <c r="G39" s="15" t="str">
        <f>VLOOKUP($L$4&amp;"_"&amp;$A39, Khung_KeHoach_Chuan!$A$11:$J$91, 8, FALSE)</f>
        <v>2026-12-26</v>
      </c>
      <c r="H39" s="14" t="str">
        <f>VLOOKUP($L$4&amp;"_"&amp;$A39, Khung_KeHoach_Chuan!$A$11:$J$91, 9, FALSE)</f>
        <v>Xác nhận của GVHD đủ điều kiện phản biện</v>
      </c>
      <c r="I39" s="15" t="s">
        <v>518</v>
      </c>
      <c r="J39" s="14"/>
    </row>
    <row r="40" spans="1:10" ht="28.5">
      <c r="A40" s="9">
        <v>25</v>
      </c>
      <c r="B40" s="10" t="str">
        <f>VLOOKUP($L$4&amp;"_"&amp;$A40, Khung_KeHoach_Chuan!$A$11:$J$91, 4, FALSE)</f>
        <v>VI. ĐÓNG GÓI, PHẢN BIỆN, BẢO VỆ &amp; NỘP ELIT</v>
      </c>
      <c r="C40" s="17" t="str">
        <f>VLOOKUP($L$4&amp;"_"&amp;$A40, Khung_KeHoach_Chuan!$A$11:$J$91, 5, FALSE)</f>
        <v>Gặp &amp; Báo cáo với Giảng viên phản biện (GVPB)</v>
      </c>
      <c r="D40" s="33" t="str">
        <f>VLOOKUP($L$4&amp;"_"&amp;$A40, Khung_KeHoach_Chuan!$A$11:$J$91, 6, FALSE)</f>
        <v>Trình bày kết quả triển khai giải pháp SDN/SD-WAN với GVPB; nhận phiếu đánh giá</v>
      </c>
      <c r="E40" s="35"/>
      <c r="F40" s="11" t="str">
        <f>VLOOKUP($L$4&amp;"_"&amp;$A40, Khung_KeHoach_Chuan!$A$11:$J$91, 7, FALSE)</f>
        <v>2027-01-01</v>
      </c>
      <c r="G40" s="11" t="str">
        <f>VLOOKUP($L$4&amp;"_"&amp;$A40, Khung_KeHoach_Chuan!$A$11:$J$91, 8, FALSE)</f>
        <v>2027-01-08</v>
      </c>
      <c r="H40" s="10" t="str">
        <f>VLOOKUP($L$4&amp;"_"&amp;$A40, Khung_KeHoach_Chuan!$A$11:$J$91, 9, FALSE)</f>
        <v>Phiếu chấm điểm phản biện của GVPB</v>
      </c>
      <c r="I40" s="11" t="s">
        <v>518</v>
      </c>
      <c r="J40" s="10"/>
    </row>
    <row r="41" spans="1:10" ht="28.5">
      <c r="A41" s="13">
        <v>26</v>
      </c>
      <c r="B41" s="14" t="str">
        <f>VLOOKUP($L$4&amp;"_"&amp;$A41, Khung_KeHoach_Chuan!$A$11:$J$91, 4, FALSE)</f>
        <v>VI. ĐÓNG GÓI, PHẢN BIỆN, BẢO VỆ &amp; NỘP ELIT</v>
      </c>
      <c r="C41" s="16" t="str">
        <f>VLOOKUP($L$4&amp;"_"&amp;$A41, Khung_KeHoach_Chuan!$A$11:$J$91, 5, FALSE)</f>
        <v>TỔ CHỨC HỘI ĐỒNG BẢO VỆ ĐATN</v>
      </c>
      <c r="D41" s="32" t="str">
        <f>VLOOKUP($L$4&amp;"_"&amp;$A41, Khung_KeHoach_Chuan!$A$11:$J$91, 6, FALSE)</f>
        <v>Thuyết trình trước Hội đồng đánh giá ĐATN của Khoa CNTT - ĐH Tôn Đức Thắng</v>
      </c>
      <c r="E41" s="35"/>
      <c r="F41" s="15" t="str">
        <f>VLOOKUP($L$4&amp;"_"&amp;$A41, Khung_KeHoach_Chuan!$A$11:$J$91, 7, FALSE)</f>
        <v>2027-01-13</v>
      </c>
      <c r="G41" s="15" t="str">
        <f>VLOOKUP($L$4&amp;"_"&amp;$A41, Khung_KeHoach_Chuan!$A$11:$J$91, 8, FALSE)</f>
        <v>2027-01-18</v>
      </c>
      <c r="H41" s="14" t="str">
        <f>VLOOKUP($L$4&amp;"_"&amp;$A41, Khung_KeHoach_Chuan!$A$11:$J$91, 9, FALSE)</f>
        <v>Biên bản chấm điểm của Hội đồng bảo vệ ĐATN</v>
      </c>
      <c r="I41" s="15" t="s">
        <v>518</v>
      </c>
      <c r="J41" s="14"/>
    </row>
    <row r="42" spans="1:10" ht="28.5">
      <c r="A42" s="19">
        <v>27</v>
      </c>
      <c r="B42" s="21" t="str">
        <f>VLOOKUP($L$4&amp;"_"&amp;$A42, Khung_KeHoach_Chuan!$A$11:$J$91, 4, FALSE)</f>
        <v>VI. ĐÓNG GÓI, PHẢN BIỆN, BẢO VỆ &amp; NỘP ELIT</v>
      </c>
      <c r="C42" s="31" t="str">
        <f>VLOOKUP($L$4&amp;"_"&amp;$A42, Khung_KeHoach_Chuan!$A$11:$J$91, 5, FALSE)</f>
        <v>Chỉnh sửa theo góp ý Hội đồng &amp; Nộp file ELIT</v>
      </c>
      <c r="D42" s="34" t="str">
        <f>VLOOKUP($L$4&amp;"_"&amp;$A42, Khung_KeHoach_Chuan!$A$11:$J$91, 6, FALSE)</f>
        <v>Hiệu chỉnh báo cáo theo nhận xét của HĐ, nộp file hoàn thiện lên ELIT</v>
      </c>
      <c r="E42" s="35"/>
      <c r="F42" s="20" t="str">
        <f>VLOOKUP($L$4&amp;"_"&amp;$A42, Khung_KeHoach_Chuan!$A$11:$J$91, 7, FALSE)</f>
        <v>2027-01-18</v>
      </c>
      <c r="G42" s="20" t="str">
        <f>VLOOKUP($L$4&amp;"_"&amp;$A42, Khung_KeHoach_Chuan!$A$11:$J$91, 8, FALSE)</f>
        <v>2027-02-16</v>
      </c>
      <c r="H42" s="21" t="str">
        <f>VLOOKUP($L$4&amp;"_"&amp;$A42, Khung_KeHoach_Chuan!$A$11:$J$91, 9, FALSE)</f>
        <v>Điểm số ĐATN chính thức được công nhận</v>
      </c>
      <c r="I42" s="20" t="s">
        <v>518</v>
      </c>
      <c r="J42" s="21"/>
    </row>
    <row r="43" spans="1:10" ht="15.75" customHeight="1">
      <c r="A43" s="90" t="s">
        <v>519</v>
      </c>
      <c r="B43" s="90"/>
      <c r="C43" s="90"/>
      <c r="D43" s="90"/>
      <c r="E43" s="90"/>
      <c r="F43" s="90"/>
      <c r="G43" s="90"/>
      <c r="H43" s="90"/>
      <c r="I43" s="90"/>
      <c r="J43" s="38"/>
    </row>
    <row r="44" spans="1:10" ht="15.75" thickBot="1">
      <c r="A44" s="8" t="s">
        <v>8</v>
      </c>
      <c r="B44" s="8" t="s">
        <v>70</v>
      </c>
      <c r="C44" s="8" t="s">
        <v>71</v>
      </c>
      <c r="D44" s="8" t="s">
        <v>513</v>
      </c>
      <c r="E44" s="8" t="s">
        <v>514</v>
      </c>
      <c r="F44" s="8" t="s">
        <v>73</v>
      </c>
      <c r="G44" s="8" t="s">
        <v>74</v>
      </c>
      <c r="H44" s="8" t="s">
        <v>75</v>
      </c>
      <c r="I44" s="8" t="s">
        <v>515</v>
      </c>
      <c r="J44" s="8" t="s">
        <v>516</v>
      </c>
    </row>
    <row r="45" spans="1:10">
      <c r="A45" s="9">
        <v>1</v>
      </c>
      <c r="B45" s="10" t="str">
        <f>IFERROR(VLOOKUP($C$10&amp;"_"&amp;$A45, Khung_KeHoach_Chuan!$A$11:$J$91, 4, FALSE),"")</f>
        <v/>
      </c>
      <c r="C45" s="17" t="str">
        <f>IFERROR(VLOOKUP($C$10&amp;"_"&amp;$A45, Khung_KeHoach_Chuan!$A$11:$J$91, 5, FALSE),"")</f>
        <v/>
      </c>
      <c r="D45" s="33" t="str">
        <f>IFERROR(VLOOKUP($C$10&amp;"_"&amp;$A45, Khung_KeHoach_Chuan!$A$11:$J$91, 6, FALSE),"")</f>
        <v/>
      </c>
      <c r="E45" s="35"/>
      <c r="F45" s="11" t="str">
        <f>IFERROR(VLOOKUP($C$10&amp;"_"&amp;$A45, Khung_KeHoach_Chuan!$A$11:$J$91, 7, FALSE),"")</f>
        <v/>
      </c>
      <c r="G45" s="11" t="str">
        <f>IFERROR(VLOOKUP($C$10&amp;"_"&amp;$A45, Khung_KeHoach_Chuan!$A$11:$J$91, 8, FALSE),"")</f>
        <v/>
      </c>
      <c r="H45" s="10" t="str">
        <f>IFERROR(VLOOKUP($C$10&amp;"_"&amp;$A45, Khung_KeHoach_Chuan!$A$11:$J$91, 9, FALSE),"")</f>
        <v/>
      </c>
      <c r="I45" s="11" t="s">
        <v>518</v>
      </c>
      <c r="J45" s="10"/>
    </row>
    <row r="46" spans="1:10">
      <c r="A46" s="13">
        <v>2</v>
      </c>
      <c r="B46" s="14" t="str">
        <f>IFERROR(VLOOKUP($C$10&amp;"_"&amp;$A46, Khung_KeHoach_Chuan!$A$11:$J$91, 4, FALSE),"")</f>
        <v/>
      </c>
      <c r="C46" s="16" t="str">
        <f>IFERROR(VLOOKUP($C$10&amp;"_"&amp;$A46, Khung_KeHoach_Chuan!$A$11:$J$91, 5, FALSE),"")</f>
        <v/>
      </c>
      <c r="D46" s="32" t="str">
        <f>IFERROR(VLOOKUP($C$10&amp;"_"&amp;$A46, Khung_KeHoach_Chuan!$A$11:$J$91, 6, FALSE),"")</f>
        <v/>
      </c>
      <c r="E46" s="35"/>
      <c r="F46" s="15" t="str">
        <f>IFERROR(VLOOKUP($C$10&amp;"_"&amp;$A46, Khung_KeHoach_Chuan!$A$11:$J$91, 7, FALSE),"")</f>
        <v/>
      </c>
      <c r="G46" s="15" t="str">
        <f>IFERROR(VLOOKUP($C$10&amp;"_"&amp;$A46, Khung_KeHoach_Chuan!$A$11:$J$91, 8, FALSE),"")</f>
        <v/>
      </c>
      <c r="H46" s="14" t="str">
        <f>IFERROR(VLOOKUP($C$10&amp;"_"&amp;$A46, Khung_KeHoach_Chuan!$A$11:$J$91, 9, FALSE),"")</f>
        <v/>
      </c>
      <c r="I46" s="15" t="s">
        <v>518</v>
      </c>
      <c r="J46" s="14"/>
    </row>
    <row r="47" spans="1:10">
      <c r="A47" s="9">
        <v>3</v>
      </c>
      <c r="B47" s="10" t="str">
        <f>IFERROR(VLOOKUP($C$10&amp;"_"&amp;$A47, Khung_KeHoach_Chuan!$A$11:$J$91, 4, FALSE),"")</f>
        <v/>
      </c>
      <c r="C47" s="17" t="str">
        <f>IFERROR(VLOOKUP($C$10&amp;"_"&amp;$A47, Khung_KeHoach_Chuan!$A$11:$J$91, 5, FALSE),"")</f>
        <v/>
      </c>
      <c r="D47" s="33" t="str">
        <f>IFERROR(VLOOKUP($C$10&amp;"_"&amp;$A47, Khung_KeHoach_Chuan!$A$11:$J$91, 6, FALSE),"")</f>
        <v/>
      </c>
      <c r="E47" s="35"/>
      <c r="F47" s="11" t="str">
        <f>IFERROR(VLOOKUP($C$10&amp;"_"&amp;$A47, Khung_KeHoach_Chuan!$A$11:$J$91, 7, FALSE),"")</f>
        <v/>
      </c>
      <c r="G47" s="11" t="str">
        <f>IFERROR(VLOOKUP($C$10&amp;"_"&amp;$A47, Khung_KeHoach_Chuan!$A$11:$J$91, 8, FALSE),"")</f>
        <v/>
      </c>
      <c r="H47" s="10" t="str">
        <f>IFERROR(VLOOKUP($C$10&amp;"_"&amp;$A47, Khung_KeHoach_Chuan!$A$11:$J$91, 9, FALSE),"")</f>
        <v/>
      </c>
      <c r="I47" s="11" t="s">
        <v>518</v>
      </c>
      <c r="J47" s="10"/>
    </row>
    <row r="48" spans="1:10">
      <c r="A48" s="13">
        <v>4</v>
      </c>
      <c r="B48" s="14" t="str">
        <f>IFERROR(VLOOKUP($C$10&amp;"_"&amp;$A48, Khung_KeHoach_Chuan!$A$11:$J$91, 4, FALSE),"")</f>
        <v/>
      </c>
      <c r="C48" s="16" t="str">
        <f>IFERROR(VLOOKUP($C$10&amp;"_"&amp;$A48, Khung_KeHoach_Chuan!$A$11:$J$91, 5, FALSE),"")</f>
        <v/>
      </c>
      <c r="D48" s="32" t="str">
        <f>IFERROR(VLOOKUP($C$10&amp;"_"&amp;$A48, Khung_KeHoach_Chuan!$A$11:$J$91, 6, FALSE),"")</f>
        <v/>
      </c>
      <c r="E48" s="35"/>
      <c r="F48" s="15" t="str">
        <f>IFERROR(VLOOKUP($C$10&amp;"_"&amp;$A48, Khung_KeHoach_Chuan!$A$11:$J$91, 7, FALSE),"")</f>
        <v/>
      </c>
      <c r="G48" s="15" t="str">
        <f>IFERROR(VLOOKUP($C$10&amp;"_"&amp;$A48, Khung_KeHoach_Chuan!$A$11:$J$91, 8, FALSE),"")</f>
        <v/>
      </c>
      <c r="H48" s="14" t="str">
        <f>IFERROR(VLOOKUP($C$10&amp;"_"&amp;$A48, Khung_KeHoach_Chuan!$A$11:$J$91, 9, FALSE),"")</f>
        <v/>
      </c>
      <c r="I48" s="15" t="s">
        <v>518</v>
      </c>
      <c r="J48" s="14"/>
    </row>
    <row r="49" spans="1:10">
      <c r="A49" s="9">
        <v>5</v>
      </c>
      <c r="B49" s="10" t="str">
        <f>IFERROR(VLOOKUP($C$10&amp;"_"&amp;$A49, Khung_KeHoach_Chuan!$A$11:$J$91, 4, FALSE),"")</f>
        <v/>
      </c>
      <c r="C49" s="17" t="str">
        <f>IFERROR(VLOOKUP($C$10&amp;"_"&amp;$A49, Khung_KeHoach_Chuan!$A$11:$J$91, 5, FALSE),"")</f>
        <v/>
      </c>
      <c r="D49" s="33" t="str">
        <f>IFERROR(VLOOKUP($C$10&amp;"_"&amp;$A49, Khung_KeHoach_Chuan!$A$11:$J$91, 6, FALSE),"")</f>
        <v/>
      </c>
      <c r="E49" s="35"/>
      <c r="F49" s="11" t="str">
        <f>IFERROR(VLOOKUP($C$10&amp;"_"&amp;$A49, Khung_KeHoach_Chuan!$A$11:$J$91, 7, FALSE),"")</f>
        <v/>
      </c>
      <c r="G49" s="11" t="str">
        <f>IFERROR(VLOOKUP($C$10&amp;"_"&amp;$A49, Khung_KeHoach_Chuan!$A$11:$J$91, 8, FALSE),"")</f>
        <v/>
      </c>
      <c r="H49" s="10" t="str">
        <f>IFERROR(VLOOKUP($C$10&amp;"_"&amp;$A49, Khung_KeHoach_Chuan!$A$11:$J$91, 9, FALSE),"")</f>
        <v/>
      </c>
      <c r="I49" s="11" t="s">
        <v>518</v>
      </c>
      <c r="J49" s="10"/>
    </row>
    <row r="50" spans="1:10">
      <c r="A50" s="13">
        <v>6</v>
      </c>
      <c r="B50" s="14" t="str">
        <f>IFERROR(VLOOKUP($C$10&amp;"_"&amp;$A50, Khung_KeHoach_Chuan!$A$11:$J$91, 4, FALSE),"")</f>
        <v/>
      </c>
      <c r="C50" s="16" t="str">
        <f>IFERROR(VLOOKUP($C$10&amp;"_"&amp;$A50, Khung_KeHoach_Chuan!$A$11:$J$91, 5, FALSE),"")</f>
        <v/>
      </c>
      <c r="D50" s="32" t="str">
        <f>IFERROR(VLOOKUP($C$10&amp;"_"&amp;$A50, Khung_KeHoach_Chuan!$A$11:$J$91, 6, FALSE),"")</f>
        <v/>
      </c>
      <c r="E50" s="35"/>
      <c r="F50" s="15" t="str">
        <f>IFERROR(VLOOKUP($C$10&amp;"_"&amp;$A50, Khung_KeHoach_Chuan!$A$11:$J$91, 7, FALSE),"")</f>
        <v/>
      </c>
      <c r="G50" s="15" t="str">
        <f>IFERROR(VLOOKUP($C$10&amp;"_"&amp;$A50, Khung_KeHoach_Chuan!$A$11:$J$91, 8, FALSE),"")</f>
        <v/>
      </c>
      <c r="H50" s="14" t="str">
        <f>IFERROR(VLOOKUP($C$10&amp;"_"&amp;$A50, Khung_KeHoach_Chuan!$A$11:$J$91, 9, FALSE),"")</f>
        <v/>
      </c>
      <c r="I50" s="15" t="s">
        <v>518</v>
      </c>
      <c r="J50" s="14"/>
    </row>
    <row r="51" spans="1:10">
      <c r="A51" s="9">
        <v>7</v>
      </c>
      <c r="B51" s="10" t="str">
        <f>IFERROR(VLOOKUP($C$10&amp;"_"&amp;$A51, Khung_KeHoach_Chuan!$A$11:$J$91, 4, FALSE),"")</f>
        <v/>
      </c>
      <c r="C51" s="17" t="str">
        <f>IFERROR(VLOOKUP($C$10&amp;"_"&amp;$A51, Khung_KeHoach_Chuan!$A$11:$J$91, 5, FALSE),"")</f>
        <v/>
      </c>
      <c r="D51" s="33" t="str">
        <f>IFERROR(VLOOKUP($C$10&amp;"_"&amp;$A51, Khung_KeHoach_Chuan!$A$11:$J$91, 6, FALSE),"")</f>
        <v/>
      </c>
      <c r="E51" s="35"/>
      <c r="F51" s="11" t="str">
        <f>IFERROR(VLOOKUP($C$10&amp;"_"&amp;$A51, Khung_KeHoach_Chuan!$A$11:$J$91, 7, FALSE),"")</f>
        <v/>
      </c>
      <c r="G51" s="11" t="str">
        <f>IFERROR(VLOOKUP($C$10&amp;"_"&amp;$A51, Khung_KeHoach_Chuan!$A$11:$J$91, 8, FALSE),"")</f>
        <v/>
      </c>
      <c r="H51" s="10" t="str">
        <f>IFERROR(VLOOKUP($C$10&amp;"_"&amp;$A51, Khung_KeHoach_Chuan!$A$11:$J$91, 9, FALSE),"")</f>
        <v/>
      </c>
      <c r="I51" s="11" t="s">
        <v>518</v>
      </c>
      <c r="J51" s="10"/>
    </row>
    <row r="52" spans="1:10">
      <c r="A52" s="13">
        <v>8</v>
      </c>
      <c r="B52" s="14" t="str">
        <f>IFERROR(VLOOKUP($C$10&amp;"_"&amp;$A52, Khung_KeHoach_Chuan!$A$11:$J$91, 4, FALSE),"")</f>
        <v/>
      </c>
      <c r="C52" s="16" t="str">
        <f>IFERROR(VLOOKUP($C$10&amp;"_"&amp;$A52, Khung_KeHoach_Chuan!$A$11:$J$91, 5, FALSE),"")</f>
        <v/>
      </c>
      <c r="D52" s="32" t="str">
        <f>IFERROR(VLOOKUP($C$10&amp;"_"&amp;$A52, Khung_KeHoach_Chuan!$A$11:$J$91, 6, FALSE),"")</f>
        <v/>
      </c>
      <c r="E52" s="35"/>
      <c r="F52" s="15" t="str">
        <f>IFERROR(VLOOKUP($C$10&amp;"_"&amp;$A52, Khung_KeHoach_Chuan!$A$11:$J$91, 7, FALSE),"")</f>
        <v/>
      </c>
      <c r="G52" s="15" t="str">
        <f>IFERROR(VLOOKUP($C$10&amp;"_"&amp;$A52, Khung_KeHoach_Chuan!$A$11:$J$91, 8, FALSE),"")</f>
        <v/>
      </c>
      <c r="H52" s="14" t="str">
        <f>IFERROR(VLOOKUP($C$10&amp;"_"&amp;$A52, Khung_KeHoach_Chuan!$A$11:$J$91, 9, FALSE),"")</f>
        <v/>
      </c>
      <c r="I52" s="15" t="s">
        <v>518</v>
      </c>
      <c r="J52" s="14"/>
    </row>
    <row r="53" spans="1:10">
      <c r="A53" s="9">
        <v>9</v>
      </c>
      <c r="B53" s="10" t="str">
        <f>IFERROR(VLOOKUP($C$10&amp;"_"&amp;$A53, Khung_KeHoach_Chuan!$A$11:$J$91, 4, FALSE),"")</f>
        <v/>
      </c>
      <c r="C53" s="17" t="str">
        <f>IFERROR(VLOOKUP($C$10&amp;"_"&amp;$A53, Khung_KeHoach_Chuan!$A$11:$J$91, 5, FALSE),"")</f>
        <v/>
      </c>
      <c r="D53" s="33" t="str">
        <f>IFERROR(VLOOKUP($C$10&amp;"_"&amp;$A53, Khung_KeHoach_Chuan!$A$11:$J$91, 6, FALSE),"")</f>
        <v/>
      </c>
      <c r="E53" s="35"/>
      <c r="F53" s="11" t="str">
        <f>IFERROR(VLOOKUP($C$10&amp;"_"&amp;$A53, Khung_KeHoach_Chuan!$A$11:$J$91, 7, FALSE),"")</f>
        <v/>
      </c>
      <c r="G53" s="11" t="str">
        <f>IFERROR(VLOOKUP($C$10&amp;"_"&amp;$A53, Khung_KeHoach_Chuan!$A$11:$J$91, 8, FALSE),"")</f>
        <v/>
      </c>
      <c r="H53" s="10" t="str">
        <f>IFERROR(VLOOKUP($C$10&amp;"_"&amp;$A53, Khung_KeHoach_Chuan!$A$11:$J$91, 9, FALSE),"")</f>
        <v/>
      </c>
      <c r="I53" s="11" t="s">
        <v>518</v>
      </c>
      <c r="J53" s="10"/>
    </row>
    <row r="54" spans="1:10">
      <c r="A54" s="19">
        <v>10</v>
      </c>
      <c r="B54" s="21" t="str">
        <f>IFERROR(VLOOKUP($C$10&amp;"_"&amp;$A54, Khung_KeHoach_Chuan!$A$11:$J$91, 4, FALSE),"")</f>
        <v/>
      </c>
      <c r="C54" s="31" t="str">
        <f>IFERROR(VLOOKUP($C$10&amp;"_"&amp;$A54, Khung_KeHoach_Chuan!$A$11:$J$91, 5, FALSE),"")</f>
        <v/>
      </c>
      <c r="D54" s="34" t="str">
        <f>IFERROR(VLOOKUP($C$10&amp;"_"&amp;$A54, Khung_KeHoach_Chuan!$A$11:$J$91, 6, FALSE),"")</f>
        <v/>
      </c>
      <c r="E54" s="35"/>
      <c r="F54" s="20" t="str">
        <f>IFERROR(VLOOKUP($C$10&amp;"_"&amp;$A54, Khung_KeHoach_Chuan!$A$11:$J$91, 7, FALSE),"")</f>
        <v/>
      </c>
      <c r="G54" s="20" t="str">
        <f>IFERROR(VLOOKUP($C$10&amp;"_"&amp;$A54, Khung_KeHoach_Chuan!$A$11:$J$91, 8, FALSE),"")</f>
        <v/>
      </c>
      <c r="H54" s="21" t="str">
        <f>IFERROR(VLOOKUP($C$10&amp;"_"&amp;$A54, Khung_KeHoach_Chuan!$A$11:$J$91, 9, FALSE),"")</f>
        <v/>
      </c>
      <c r="I54" s="20" t="s">
        <v>518</v>
      </c>
      <c r="J54" s="21"/>
    </row>
    <row r="55" spans="1:10">
      <c r="A55" s="9">
        <v>11</v>
      </c>
      <c r="B55" s="10" t="str">
        <f>IFERROR(VLOOKUP($C$10&amp;"_"&amp;$A55, Khung_KeHoach_Chuan!$A$11:$J$91, 4, FALSE),"")</f>
        <v/>
      </c>
      <c r="C55" s="17" t="str">
        <f>IFERROR(VLOOKUP($C$10&amp;"_"&amp;$A55, Khung_KeHoach_Chuan!$A$11:$J$91, 5, FALSE),"")</f>
        <v/>
      </c>
      <c r="D55" s="33" t="str">
        <f>IFERROR(VLOOKUP($C$10&amp;"_"&amp;$A55, Khung_KeHoach_Chuan!$A$11:$J$91, 6, FALSE),"")</f>
        <v/>
      </c>
      <c r="E55" s="35"/>
      <c r="F55" s="11" t="str">
        <f>IFERROR(VLOOKUP($C$10&amp;"_"&amp;$A55, Khung_KeHoach_Chuan!$A$11:$J$91, 7, FALSE),"")</f>
        <v/>
      </c>
      <c r="G55" s="11" t="str">
        <f>IFERROR(VLOOKUP($C$10&amp;"_"&amp;$A55, Khung_KeHoach_Chuan!$A$11:$J$91, 8, FALSE),"")</f>
        <v/>
      </c>
      <c r="H55" s="10" t="str">
        <f>IFERROR(VLOOKUP($C$10&amp;"_"&amp;$A55, Khung_KeHoach_Chuan!$A$11:$J$91, 9, FALSE),"")</f>
        <v/>
      </c>
      <c r="I55" s="11" t="s">
        <v>518</v>
      </c>
      <c r="J55" s="10"/>
    </row>
    <row r="56" spans="1:10">
      <c r="A56" s="13">
        <v>12</v>
      </c>
      <c r="B56" s="14" t="str">
        <f>IFERROR(VLOOKUP($C$10&amp;"_"&amp;$A56, Khung_KeHoach_Chuan!$A$11:$J$91, 4, FALSE),"")</f>
        <v/>
      </c>
      <c r="C56" s="16" t="str">
        <f>IFERROR(VLOOKUP($C$10&amp;"_"&amp;$A56, Khung_KeHoach_Chuan!$A$11:$J$91, 5, FALSE),"")</f>
        <v/>
      </c>
      <c r="D56" s="32" t="str">
        <f>IFERROR(VLOOKUP($C$10&amp;"_"&amp;$A56, Khung_KeHoach_Chuan!$A$11:$J$91, 6, FALSE),"")</f>
        <v/>
      </c>
      <c r="E56" s="35"/>
      <c r="F56" s="15" t="str">
        <f>IFERROR(VLOOKUP($C$10&amp;"_"&amp;$A56, Khung_KeHoach_Chuan!$A$11:$J$91, 7, FALSE),"")</f>
        <v/>
      </c>
      <c r="G56" s="15" t="str">
        <f>IFERROR(VLOOKUP($C$10&amp;"_"&amp;$A56, Khung_KeHoach_Chuan!$A$11:$J$91, 8, FALSE),"")</f>
        <v/>
      </c>
      <c r="H56" s="14" t="str">
        <f>IFERROR(VLOOKUP($C$10&amp;"_"&amp;$A56, Khung_KeHoach_Chuan!$A$11:$J$91, 9, FALSE),"")</f>
        <v/>
      </c>
      <c r="I56" s="15" t="s">
        <v>518</v>
      </c>
      <c r="J56" s="14"/>
    </row>
    <row r="57" spans="1:10">
      <c r="A57" s="9">
        <v>13</v>
      </c>
      <c r="B57" s="10" t="str">
        <f>IFERROR(VLOOKUP($C$10&amp;"_"&amp;$A57, Khung_KeHoach_Chuan!$A$11:$J$91, 4, FALSE),"")</f>
        <v/>
      </c>
      <c r="C57" s="17" t="str">
        <f>IFERROR(VLOOKUP($C$10&amp;"_"&amp;$A57, Khung_KeHoach_Chuan!$A$11:$J$91, 5, FALSE),"")</f>
        <v/>
      </c>
      <c r="D57" s="33" t="str">
        <f>IFERROR(VLOOKUP($C$10&amp;"_"&amp;$A57, Khung_KeHoach_Chuan!$A$11:$J$91, 6, FALSE),"")</f>
        <v/>
      </c>
      <c r="E57" s="35"/>
      <c r="F57" s="11" t="str">
        <f>IFERROR(VLOOKUP($C$10&amp;"_"&amp;$A57, Khung_KeHoach_Chuan!$A$11:$J$91, 7, FALSE),"")</f>
        <v/>
      </c>
      <c r="G57" s="11" t="str">
        <f>IFERROR(VLOOKUP($C$10&amp;"_"&amp;$A57, Khung_KeHoach_Chuan!$A$11:$J$91, 8, FALSE),"")</f>
        <v/>
      </c>
      <c r="H57" s="10" t="str">
        <f>IFERROR(VLOOKUP($C$10&amp;"_"&amp;$A57, Khung_KeHoach_Chuan!$A$11:$J$91, 9, FALSE),"")</f>
        <v/>
      </c>
      <c r="I57" s="11" t="s">
        <v>518</v>
      </c>
      <c r="J57" s="10"/>
    </row>
    <row r="58" spans="1:10">
      <c r="A58" s="13">
        <v>14</v>
      </c>
      <c r="B58" s="14" t="str">
        <f>IFERROR(VLOOKUP($C$10&amp;"_"&amp;$A58, Khung_KeHoach_Chuan!$A$11:$J$91, 4, FALSE),"")</f>
        <v/>
      </c>
      <c r="C58" s="16" t="str">
        <f>IFERROR(VLOOKUP($C$10&amp;"_"&amp;$A58, Khung_KeHoach_Chuan!$A$11:$J$91, 5, FALSE),"")</f>
        <v/>
      </c>
      <c r="D58" s="32" t="str">
        <f>IFERROR(VLOOKUP($C$10&amp;"_"&amp;$A58, Khung_KeHoach_Chuan!$A$11:$J$91, 6, FALSE),"")</f>
        <v/>
      </c>
      <c r="E58" s="35"/>
      <c r="F58" s="15" t="str">
        <f>IFERROR(VLOOKUP($C$10&amp;"_"&amp;$A58, Khung_KeHoach_Chuan!$A$11:$J$91, 7, FALSE),"")</f>
        <v/>
      </c>
      <c r="G58" s="15" t="str">
        <f>IFERROR(VLOOKUP($C$10&amp;"_"&amp;$A58, Khung_KeHoach_Chuan!$A$11:$J$91, 8, FALSE),"")</f>
        <v/>
      </c>
      <c r="H58" s="14" t="str">
        <f>IFERROR(VLOOKUP($C$10&amp;"_"&amp;$A58, Khung_KeHoach_Chuan!$A$11:$J$91, 9, FALSE),"")</f>
        <v/>
      </c>
      <c r="I58" s="15" t="s">
        <v>518</v>
      </c>
      <c r="J58" s="14"/>
    </row>
    <row r="59" spans="1:10">
      <c r="A59" s="9">
        <v>15</v>
      </c>
      <c r="B59" s="10" t="str">
        <f>IFERROR(VLOOKUP($C$10&amp;"_"&amp;$A59, Khung_KeHoach_Chuan!$A$11:$J$91, 4, FALSE),"")</f>
        <v/>
      </c>
      <c r="C59" s="17" t="str">
        <f>IFERROR(VLOOKUP($C$10&amp;"_"&amp;$A59, Khung_KeHoach_Chuan!$A$11:$J$91, 5, FALSE),"")</f>
        <v/>
      </c>
      <c r="D59" s="33" t="str">
        <f>IFERROR(VLOOKUP($C$10&amp;"_"&amp;$A59, Khung_KeHoach_Chuan!$A$11:$J$91, 6, FALSE),"")</f>
        <v/>
      </c>
      <c r="E59" s="35"/>
      <c r="F59" s="11" t="str">
        <f>IFERROR(VLOOKUP($C$10&amp;"_"&amp;$A59, Khung_KeHoach_Chuan!$A$11:$J$91, 7, FALSE),"")</f>
        <v/>
      </c>
      <c r="G59" s="11" t="str">
        <f>IFERROR(VLOOKUP($C$10&amp;"_"&amp;$A59, Khung_KeHoach_Chuan!$A$11:$J$91, 8, FALSE),"")</f>
        <v/>
      </c>
      <c r="H59" s="10" t="str">
        <f>IFERROR(VLOOKUP($C$10&amp;"_"&amp;$A59, Khung_KeHoach_Chuan!$A$11:$J$91, 9, FALSE),"")</f>
        <v/>
      </c>
      <c r="I59" s="11" t="s">
        <v>518</v>
      </c>
      <c r="J59" s="10"/>
    </row>
    <row r="60" spans="1:10">
      <c r="A60" s="13">
        <v>16</v>
      </c>
      <c r="B60" s="14" t="str">
        <f>IFERROR(VLOOKUP($C$10&amp;"_"&amp;$A60, Khung_KeHoach_Chuan!$A$11:$J$91, 4, FALSE),"")</f>
        <v/>
      </c>
      <c r="C60" s="16" t="str">
        <f>IFERROR(VLOOKUP($C$10&amp;"_"&amp;$A60, Khung_KeHoach_Chuan!$A$11:$J$91, 5, FALSE),"")</f>
        <v/>
      </c>
      <c r="D60" s="32" t="str">
        <f>IFERROR(VLOOKUP($C$10&amp;"_"&amp;$A60, Khung_KeHoach_Chuan!$A$11:$J$91, 6, FALSE),"")</f>
        <v/>
      </c>
      <c r="E60" s="35"/>
      <c r="F60" s="15" t="str">
        <f>IFERROR(VLOOKUP($C$10&amp;"_"&amp;$A60, Khung_KeHoach_Chuan!$A$11:$J$91, 7, FALSE),"")</f>
        <v/>
      </c>
      <c r="G60" s="15" t="str">
        <f>IFERROR(VLOOKUP($C$10&amp;"_"&amp;$A60, Khung_KeHoach_Chuan!$A$11:$J$91, 8, FALSE),"")</f>
        <v/>
      </c>
      <c r="H60" s="14" t="str">
        <f>IFERROR(VLOOKUP($C$10&amp;"_"&amp;$A60, Khung_KeHoach_Chuan!$A$11:$J$91, 9, FALSE),"")</f>
        <v/>
      </c>
      <c r="I60" s="15" t="s">
        <v>518</v>
      </c>
      <c r="J60" s="14"/>
    </row>
    <row r="61" spans="1:10">
      <c r="A61" s="9">
        <v>17</v>
      </c>
      <c r="B61" s="10" t="str">
        <f>IFERROR(VLOOKUP($C$10&amp;"_"&amp;$A61, Khung_KeHoach_Chuan!$A$11:$J$91, 4, FALSE),"")</f>
        <v/>
      </c>
      <c r="C61" s="17" t="str">
        <f>IFERROR(VLOOKUP($C$10&amp;"_"&amp;$A61, Khung_KeHoach_Chuan!$A$11:$J$91, 5, FALSE),"")</f>
        <v/>
      </c>
      <c r="D61" s="33" t="str">
        <f>IFERROR(VLOOKUP($C$10&amp;"_"&amp;$A61, Khung_KeHoach_Chuan!$A$11:$J$91, 6, FALSE),"")</f>
        <v/>
      </c>
      <c r="E61" s="35"/>
      <c r="F61" s="11" t="str">
        <f>IFERROR(VLOOKUP($C$10&amp;"_"&amp;$A61, Khung_KeHoach_Chuan!$A$11:$J$91, 7, FALSE),"")</f>
        <v/>
      </c>
      <c r="G61" s="11" t="str">
        <f>IFERROR(VLOOKUP($C$10&amp;"_"&amp;$A61, Khung_KeHoach_Chuan!$A$11:$J$91, 8, FALSE),"")</f>
        <v/>
      </c>
      <c r="H61" s="10" t="str">
        <f>IFERROR(VLOOKUP($C$10&amp;"_"&amp;$A61, Khung_KeHoach_Chuan!$A$11:$J$91, 9, FALSE),"")</f>
        <v/>
      </c>
      <c r="I61" s="11" t="s">
        <v>518</v>
      </c>
      <c r="J61" s="10"/>
    </row>
    <row r="62" spans="1:10">
      <c r="A62" s="13">
        <v>18</v>
      </c>
      <c r="B62" s="14" t="str">
        <f>IFERROR(VLOOKUP($C$10&amp;"_"&amp;$A62, Khung_KeHoach_Chuan!$A$11:$J$91, 4, FALSE),"")</f>
        <v/>
      </c>
      <c r="C62" s="16" t="str">
        <f>IFERROR(VLOOKUP($C$10&amp;"_"&amp;$A62, Khung_KeHoach_Chuan!$A$11:$J$91, 5, FALSE),"")</f>
        <v/>
      </c>
      <c r="D62" s="32" t="str">
        <f>IFERROR(VLOOKUP($C$10&amp;"_"&amp;$A62, Khung_KeHoach_Chuan!$A$11:$J$91, 6, FALSE),"")</f>
        <v/>
      </c>
      <c r="E62" s="35"/>
      <c r="F62" s="15" t="str">
        <f>IFERROR(VLOOKUP($C$10&amp;"_"&amp;$A62, Khung_KeHoach_Chuan!$A$11:$J$91, 7, FALSE),"")</f>
        <v/>
      </c>
      <c r="G62" s="15" t="str">
        <f>IFERROR(VLOOKUP($C$10&amp;"_"&amp;$A62, Khung_KeHoach_Chuan!$A$11:$J$91, 8, FALSE),"")</f>
        <v/>
      </c>
      <c r="H62" s="14" t="str">
        <f>IFERROR(VLOOKUP($C$10&amp;"_"&amp;$A62, Khung_KeHoach_Chuan!$A$11:$J$91, 9, FALSE),"")</f>
        <v/>
      </c>
      <c r="I62" s="15" t="s">
        <v>518</v>
      </c>
      <c r="J62" s="14"/>
    </row>
    <row r="63" spans="1:10">
      <c r="A63" s="9">
        <v>19</v>
      </c>
      <c r="B63" s="10" t="str">
        <f>IFERROR(VLOOKUP($C$10&amp;"_"&amp;$A63, Khung_KeHoach_Chuan!$A$11:$J$91, 4, FALSE),"")</f>
        <v/>
      </c>
      <c r="C63" s="17" t="str">
        <f>IFERROR(VLOOKUP($C$10&amp;"_"&amp;$A63, Khung_KeHoach_Chuan!$A$11:$J$91, 5, FALSE),"")</f>
        <v/>
      </c>
      <c r="D63" s="33" t="str">
        <f>IFERROR(VLOOKUP($C$10&amp;"_"&amp;$A63, Khung_KeHoach_Chuan!$A$11:$J$91, 6, FALSE),"")</f>
        <v/>
      </c>
      <c r="E63" s="35"/>
      <c r="F63" s="11" t="str">
        <f>IFERROR(VLOOKUP($C$10&amp;"_"&amp;$A63, Khung_KeHoach_Chuan!$A$11:$J$91, 7, FALSE),"")</f>
        <v/>
      </c>
      <c r="G63" s="11" t="str">
        <f>IFERROR(VLOOKUP($C$10&amp;"_"&amp;$A63, Khung_KeHoach_Chuan!$A$11:$J$91, 8, FALSE),"")</f>
        <v/>
      </c>
      <c r="H63" s="10" t="str">
        <f>IFERROR(VLOOKUP($C$10&amp;"_"&amp;$A63, Khung_KeHoach_Chuan!$A$11:$J$91, 9, FALSE),"")</f>
        <v/>
      </c>
      <c r="I63" s="11" t="s">
        <v>518</v>
      </c>
      <c r="J63" s="10"/>
    </row>
    <row r="64" spans="1:10">
      <c r="A64" s="13">
        <v>20</v>
      </c>
      <c r="B64" s="14" t="str">
        <f>IFERROR(VLOOKUP($C$10&amp;"_"&amp;$A64, Khung_KeHoach_Chuan!$A$11:$J$91, 4, FALSE),"")</f>
        <v/>
      </c>
      <c r="C64" s="16" t="str">
        <f>IFERROR(VLOOKUP($C$10&amp;"_"&amp;$A64, Khung_KeHoach_Chuan!$A$11:$J$91, 5, FALSE),"")</f>
        <v/>
      </c>
      <c r="D64" s="32" t="str">
        <f>IFERROR(VLOOKUP($C$10&amp;"_"&amp;$A64, Khung_KeHoach_Chuan!$A$11:$J$91, 6, FALSE),"")</f>
        <v/>
      </c>
      <c r="E64" s="35"/>
      <c r="F64" s="15" t="str">
        <f>IFERROR(VLOOKUP($C$10&amp;"_"&amp;$A64, Khung_KeHoach_Chuan!$A$11:$J$91, 7, FALSE),"")</f>
        <v/>
      </c>
      <c r="G64" s="15" t="str">
        <f>IFERROR(VLOOKUP($C$10&amp;"_"&amp;$A64, Khung_KeHoach_Chuan!$A$11:$J$91, 8, FALSE),"")</f>
        <v/>
      </c>
      <c r="H64" s="14" t="str">
        <f>IFERROR(VLOOKUP($C$10&amp;"_"&amp;$A64, Khung_KeHoach_Chuan!$A$11:$J$91, 9, FALSE),"")</f>
        <v/>
      </c>
      <c r="I64" s="15" t="s">
        <v>518</v>
      </c>
      <c r="J64" s="14"/>
    </row>
    <row r="65" spans="1:10">
      <c r="A65" s="9">
        <v>21</v>
      </c>
      <c r="B65" s="10" t="str">
        <f>IFERROR(VLOOKUP($C$10&amp;"_"&amp;$A65, Khung_KeHoach_Chuan!$A$11:$J$91, 4, FALSE),"")</f>
        <v/>
      </c>
      <c r="C65" s="17" t="str">
        <f>IFERROR(VLOOKUP($C$10&amp;"_"&amp;$A65, Khung_KeHoach_Chuan!$A$11:$J$91, 5, FALSE),"")</f>
        <v/>
      </c>
      <c r="D65" s="33" t="str">
        <f>IFERROR(VLOOKUP($C$10&amp;"_"&amp;$A65, Khung_KeHoach_Chuan!$A$11:$J$91, 6, FALSE),"")</f>
        <v/>
      </c>
      <c r="E65" s="35"/>
      <c r="F65" s="11" t="str">
        <f>IFERROR(VLOOKUP($C$10&amp;"_"&amp;$A65, Khung_KeHoach_Chuan!$A$11:$J$91, 7, FALSE),"")</f>
        <v/>
      </c>
      <c r="G65" s="11" t="str">
        <f>IFERROR(VLOOKUP($C$10&amp;"_"&amp;$A65, Khung_KeHoach_Chuan!$A$11:$J$91, 8, FALSE),"")</f>
        <v/>
      </c>
      <c r="H65" s="10" t="str">
        <f>IFERROR(VLOOKUP($C$10&amp;"_"&amp;$A65, Khung_KeHoach_Chuan!$A$11:$J$91, 9, FALSE),"")</f>
        <v/>
      </c>
      <c r="I65" s="11" t="s">
        <v>518</v>
      </c>
      <c r="J65" s="10"/>
    </row>
    <row r="66" spans="1:10">
      <c r="A66" s="19">
        <v>22</v>
      </c>
      <c r="B66" s="21" t="str">
        <f>IFERROR(VLOOKUP($C$10&amp;"_"&amp;$A66, Khung_KeHoach_Chuan!$A$11:$J$91, 4, FALSE),"")</f>
        <v/>
      </c>
      <c r="C66" s="31" t="str">
        <f>IFERROR(VLOOKUP($C$10&amp;"_"&amp;$A66, Khung_KeHoach_Chuan!$A$11:$J$91, 5, FALSE),"")</f>
        <v/>
      </c>
      <c r="D66" s="34" t="str">
        <f>IFERROR(VLOOKUP($C$10&amp;"_"&amp;$A66, Khung_KeHoach_Chuan!$A$11:$J$91, 6, FALSE),"")</f>
        <v/>
      </c>
      <c r="E66" s="35"/>
      <c r="F66" s="20" t="str">
        <f>IFERROR(VLOOKUP($C$10&amp;"_"&amp;$A66, Khung_KeHoach_Chuan!$A$11:$J$91, 7, FALSE),"")</f>
        <v/>
      </c>
      <c r="G66" s="20" t="str">
        <f>IFERROR(VLOOKUP($C$10&amp;"_"&amp;$A66, Khung_KeHoach_Chuan!$A$11:$J$91, 8, FALSE),"")</f>
        <v/>
      </c>
      <c r="H66" s="21" t="str">
        <f>IFERROR(VLOOKUP($C$10&amp;"_"&amp;$A66, Khung_KeHoach_Chuan!$A$11:$J$91, 9, FALSE),"")</f>
        <v/>
      </c>
      <c r="I66" s="20" t="s">
        <v>518</v>
      </c>
      <c r="J66" s="21"/>
    </row>
    <row r="67" spans="1:10">
      <c r="A67" s="19">
        <v>23</v>
      </c>
      <c r="B67" s="21" t="str">
        <f>IFERROR(VLOOKUP($C$10&amp;"_"&amp;$A67, Khung_KeHoach_Chuan!$A$11:$J$91, 4, FALSE),"")</f>
        <v/>
      </c>
      <c r="C67" s="31" t="str">
        <f>IFERROR(VLOOKUP($C$10&amp;"_"&amp;$A67, Khung_KeHoach_Chuan!$A$11:$J$91, 5, FALSE),"")</f>
        <v/>
      </c>
      <c r="D67" s="34" t="str">
        <f>IFERROR(VLOOKUP($C$10&amp;"_"&amp;$A67, Khung_KeHoach_Chuan!$A$11:$J$91, 6, FALSE),"")</f>
        <v/>
      </c>
      <c r="E67" s="35"/>
      <c r="F67" s="20" t="str">
        <f>IFERROR(VLOOKUP($C$10&amp;"_"&amp;$A67, Khung_KeHoach_Chuan!$A$11:$J$91, 7, FALSE),"")</f>
        <v/>
      </c>
      <c r="G67" s="20" t="str">
        <f>IFERROR(VLOOKUP($C$10&amp;"_"&amp;$A67, Khung_KeHoach_Chuan!$A$11:$J$91, 8, FALSE),"")</f>
        <v/>
      </c>
      <c r="H67" s="21" t="str">
        <f>IFERROR(VLOOKUP($C$10&amp;"_"&amp;$A67, Khung_KeHoach_Chuan!$A$11:$J$91, 9, FALSE),"")</f>
        <v/>
      </c>
      <c r="I67" s="20" t="s">
        <v>518</v>
      </c>
      <c r="J67" s="21"/>
    </row>
    <row r="68" spans="1:10">
      <c r="A68" s="13">
        <v>24</v>
      </c>
      <c r="B68" s="14" t="str">
        <f>IFERROR(VLOOKUP($C$10&amp;"_"&amp;$A68, Khung_KeHoach_Chuan!$A$11:$J$91, 4, FALSE),"")</f>
        <v/>
      </c>
      <c r="C68" s="16" t="str">
        <f>IFERROR(VLOOKUP($C$10&amp;"_"&amp;$A68, Khung_KeHoach_Chuan!$A$11:$J$91, 5, FALSE),"")</f>
        <v/>
      </c>
      <c r="D68" s="32" t="str">
        <f>IFERROR(VLOOKUP($C$10&amp;"_"&amp;$A68, Khung_KeHoach_Chuan!$A$11:$J$91, 6, FALSE),"")</f>
        <v/>
      </c>
      <c r="E68" s="35"/>
      <c r="F68" s="15" t="str">
        <f>IFERROR(VLOOKUP($C$10&amp;"_"&amp;$A68, Khung_KeHoach_Chuan!$A$11:$J$91, 7, FALSE),"")</f>
        <v/>
      </c>
      <c r="G68" s="15" t="str">
        <f>IFERROR(VLOOKUP($C$10&amp;"_"&amp;$A68, Khung_KeHoach_Chuan!$A$11:$J$91, 8, FALSE),"")</f>
        <v/>
      </c>
      <c r="H68" s="14" t="str">
        <f>IFERROR(VLOOKUP($C$10&amp;"_"&amp;$A68, Khung_KeHoach_Chuan!$A$11:$J$91, 9, FALSE),"")</f>
        <v/>
      </c>
      <c r="I68" s="15" t="s">
        <v>518</v>
      </c>
      <c r="J68" s="14"/>
    </row>
    <row r="69" spans="1:10">
      <c r="A69" s="9">
        <v>25</v>
      </c>
      <c r="B69" s="10" t="str">
        <f>IFERROR(VLOOKUP($C$10&amp;"_"&amp;$A69, Khung_KeHoach_Chuan!$A$11:$J$91, 4, FALSE),"")</f>
        <v/>
      </c>
      <c r="C69" s="17" t="str">
        <f>IFERROR(VLOOKUP($C$10&amp;"_"&amp;$A69, Khung_KeHoach_Chuan!$A$11:$J$91, 5, FALSE),"")</f>
        <v/>
      </c>
      <c r="D69" s="33" t="str">
        <f>IFERROR(VLOOKUP($C$10&amp;"_"&amp;$A69, Khung_KeHoach_Chuan!$A$11:$J$91, 6, FALSE),"")</f>
        <v/>
      </c>
      <c r="E69" s="35"/>
      <c r="F69" s="11" t="str">
        <f>IFERROR(VLOOKUP($C$10&amp;"_"&amp;$A69, Khung_KeHoach_Chuan!$A$11:$J$91, 7, FALSE),"")</f>
        <v/>
      </c>
      <c r="G69" s="11" t="str">
        <f>IFERROR(VLOOKUP($C$10&amp;"_"&amp;$A69, Khung_KeHoach_Chuan!$A$11:$J$91, 8, FALSE),"")</f>
        <v/>
      </c>
      <c r="H69" s="10" t="str">
        <f>IFERROR(VLOOKUP($C$10&amp;"_"&amp;$A69, Khung_KeHoach_Chuan!$A$11:$J$91, 9, FALSE),"")</f>
        <v/>
      </c>
      <c r="I69" s="11" t="s">
        <v>518</v>
      </c>
      <c r="J69" s="10"/>
    </row>
    <row r="70" spans="1:10">
      <c r="A70" s="13">
        <v>26</v>
      </c>
      <c r="B70" s="14" t="str">
        <f>IFERROR(VLOOKUP($C$10&amp;"_"&amp;$A70, Khung_KeHoach_Chuan!$A$11:$J$91, 4, FALSE),"")</f>
        <v/>
      </c>
      <c r="C70" s="16" t="str">
        <f>IFERROR(VLOOKUP($C$10&amp;"_"&amp;$A70, Khung_KeHoach_Chuan!$A$11:$J$91, 5, FALSE),"")</f>
        <v/>
      </c>
      <c r="D70" s="32" t="str">
        <f>IFERROR(VLOOKUP($C$10&amp;"_"&amp;$A70, Khung_KeHoach_Chuan!$A$11:$J$91, 6, FALSE),"")</f>
        <v/>
      </c>
      <c r="E70" s="35"/>
      <c r="F70" s="15" t="str">
        <f>IFERROR(VLOOKUP($C$10&amp;"_"&amp;$A70, Khung_KeHoach_Chuan!$A$11:$J$91, 7, FALSE),"")</f>
        <v/>
      </c>
      <c r="G70" s="15" t="str">
        <f>IFERROR(VLOOKUP($C$10&amp;"_"&amp;$A70, Khung_KeHoach_Chuan!$A$11:$J$91, 8, FALSE),"")</f>
        <v/>
      </c>
      <c r="H70" s="14" t="str">
        <f>IFERROR(VLOOKUP($C$10&amp;"_"&amp;$A70, Khung_KeHoach_Chuan!$A$11:$J$91, 9, FALSE),"")</f>
        <v/>
      </c>
      <c r="I70" s="15" t="s">
        <v>518</v>
      </c>
      <c r="J70" s="14"/>
    </row>
    <row r="71" spans="1:10">
      <c r="A71" s="19">
        <v>27</v>
      </c>
      <c r="B71" s="21" t="str">
        <f>IFERROR(VLOOKUP($C$10&amp;"_"&amp;$A71, Khung_KeHoach_Chuan!$A$11:$J$91, 4, FALSE),"")</f>
        <v/>
      </c>
      <c r="C71" s="31" t="str">
        <f>IFERROR(VLOOKUP($C$10&amp;"_"&amp;$A71, Khung_KeHoach_Chuan!$A$11:$J$91, 5, FALSE),"")</f>
        <v/>
      </c>
      <c r="D71" s="34" t="str">
        <f>IFERROR(VLOOKUP($C$10&amp;"_"&amp;$A71, Khung_KeHoach_Chuan!$A$11:$J$91, 6, FALSE),"")</f>
        <v/>
      </c>
      <c r="E71" s="35"/>
      <c r="F71" s="20" t="str">
        <f>IFERROR(VLOOKUP($C$10&amp;"_"&amp;$A71, Khung_KeHoach_Chuan!$A$11:$J$91, 7, FALSE),"")</f>
        <v/>
      </c>
      <c r="G71" s="20" t="str">
        <f>IFERROR(VLOOKUP($C$10&amp;"_"&amp;$A71, Khung_KeHoach_Chuan!$A$11:$J$91, 8, FALSE),"")</f>
        <v/>
      </c>
      <c r="H71" s="21" t="str">
        <f>IFERROR(VLOOKUP($C$10&amp;"_"&amp;$A71, Khung_KeHoach_Chuan!$A$11:$J$91, 9, FALSE),"")</f>
        <v/>
      </c>
      <c r="I71" s="20" t="s">
        <v>518</v>
      </c>
      <c r="J71" s="21"/>
    </row>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5:I5"/>
    <mergeCell ref="A11:I11"/>
    <mergeCell ref="A43:I43"/>
  </mergeCells>
  <dataValidations count="4">
    <dataValidation type="list" allowBlank="1" sqref="C4" xr:uid="{00000000-0002-0000-0C00-000000000000}">
      <formula1>"Dự án CNTT,Đồ án tốt nghiệp,Khóa luận tốt nghiệp,Dự án + Đồ án,Dự án + Khóa luận"</formula1>
    </dataValidation>
    <dataValidation type="list" allowBlank="1" sqref="I16:I42" xr:uid="{00000000-0002-0000-0C00-000001000000}">
      <formula1>"Chưa bắt đầu,Đang thực hiện,Hoàn thành,Tạm hoãn - Bị chặn"</formula1>
    </dataValidation>
    <dataValidation type="list" allowBlank="1" showInputMessage="1" showErrorMessage="1" sqref="C10" xr:uid="{1DB6C9EB-BB2B-4414-9F86-F2F65CC6FD7C}">
      <formula1>"Dự án CNTT,Đồ án tốt nghiệp,Khóa luận tốt nghiệp"</formula1>
    </dataValidation>
    <dataValidation type="list" allowBlank="1" showInputMessage="1" showErrorMessage="1" sqref="I45:I71" xr:uid="{D5C1BF67-92C0-4E1A-9849-782A2918B635}">
      <formula1>"Chưa bắt đầu,Đang thực hiện,Hoàn thành,Tạm hoãn - Bị chặn"</formula1>
    </dataValidation>
  </dataValidation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2026-08-28T18:40:20Z</dcterms:created>
  <dcterms:modified xsi:type="dcterms:W3CDTF">2026-10-04T03:15:07Z</dcterms:modified>
  <cp:category/>
  <cp:contentStatus/>
</cp:coreProperties>
</file>